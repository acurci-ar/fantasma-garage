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os por día" sheetId="1" state="visible" r:id="rId3"/>
    <sheet name="Escenarios 5 vs 15" sheetId="2" state="visible" r:id="rId4"/>
    <sheet name="Margen y rentabilidad" sheetId="3" state="visible" r:id="rId5"/>
    <sheet name="Supuestos y fuentes" sheetId="4" state="visible" r:id="rId6"/>
  </sheets>
  <definedNames>
    <definedName function="false" hidden="true" localSheetId="0" name="_xlnm._FilterDatabase" vbProcedure="false">'Costos por día'!$A$4:$L$61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<sst xmlns="http://schemas.openxmlformats.org/spreadsheetml/2006/main" count="730" uniqueCount="444">
  <si>
    <t xml:space="preserve">Costos por día y actividad — Travesía Ruta 66 (nov-2027)</t>
  </si>
  <si>
    <t xml:space="preserve">Cada línea toma su costo unitario de 'Supuestos y fuentes' y aplica el ajuste a 2027. Tipo: FIJO = no depende de la cantidad de participantes; VARIABLE = escala con participantes/autos. Las cantidades son fórmulas (pax, staff, autos, habitaciones, vehículos).</t>
  </si>
  <si>
    <t xml:space="preserve">Día</t>
  </si>
  <si>
    <t xml:space="preserve">Fecha</t>
  </si>
  <si>
    <t xml:space="preserve">Actividad / rubro</t>
  </si>
  <si>
    <t xml:space="preserve">Tipo</t>
  </si>
  <si>
    <t xml:space="preserve">Costo unitario 2026</t>
  </si>
  <si>
    <t xml:space="preserve">Costo unit. 2027</t>
  </si>
  <si>
    <t xml:space="preserve">Unidad</t>
  </si>
  <si>
    <t xml:space="preserve">Cant. esc. 1</t>
  </si>
  <si>
    <t xml:space="preserve">Total esc. 1</t>
  </si>
  <si>
    <t xml:space="preserve">Cant. esc. 2</t>
  </si>
  <si>
    <t xml:space="preserve">Total esc. 2</t>
  </si>
  <si>
    <t xml:space="preserve">Notas</t>
  </si>
  <si>
    <t xml:space="preserve">Transversal</t>
  </si>
  <si>
    <t xml:space="preserve">4–11 nov</t>
  </si>
  <si>
    <t xml:space="preserve">Vuelo EZE–LAS turista — participantes</t>
  </si>
  <si>
    <t xml:space="preserve">VARIABLE</t>
  </si>
  <si>
    <t xml:space="preserve">persona</t>
  </si>
  <si>
    <t xml:space="preserve">Incluido en el precio. Upgrade a business se cotiza aparte (ver hoja Rentabilidad)</t>
  </si>
  <si>
    <t xml:space="preserve">Vuelo EZE–LAS turista — staff (3)</t>
  </si>
  <si>
    <t xml:space="preserve">FIJO</t>
  </si>
  <si>
    <t xml:space="preserve">Javier, Jorge y Alejandro</t>
  </si>
  <si>
    <t xml:space="preserve">Asistencia al viajero / seguro médico (participantes + staff)</t>
  </si>
  <si>
    <t xml:space="preserve">Cobertura USD 150.000+, incluye deportes/motor</t>
  </si>
  <si>
    <t xml:space="preserve">Kit de bienvenida (campera, gorra, placa, roadbook)</t>
  </si>
  <si>
    <t xml:space="preserve">Producción foto/video (equipo, drone, edición, música)</t>
  </si>
  <si>
    <t xml:space="preserve">fijo</t>
  </si>
  <si>
    <t xml:space="preserve">Material para redes del 2º viaje</t>
  </si>
  <si>
    <t xml:space="preserve">Pre-viaje: reuniones, seguro RC organizador, gestoría</t>
  </si>
  <si>
    <t xml:space="preserve">Vehículo de apoyo (pickup) — alquiler</t>
  </si>
  <si>
    <t xml:space="preserve">Mecánico (Javier) + herramientas + equipaje</t>
  </si>
  <si>
    <t xml:space="preserve">Herramientas, repuestos y combustible del vehículo de apoyo</t>
  </si>
  <si>
    <t xml:space="preserve">Día 0</t>
  </si>
  <si>
    <t xml:space="preserve">jue 4 nov</t>
  </si>
  <si>
    <t xml:space="preserve">Traslado aeropuerto → The Venetian (sprinter con chofer)</t>
  </si>
  <si>
    <t xml:space="preserve">vehículo</t>
  </si>
  <si>
    <t xml:space="preserve">Hasta 14 pax por sprinter; con 15 pax + staff se necesitan 2</t>
  </si>
  <si>
    <t xml:space="preserve">The Venetian — suite por participante (noche 1)</t>
  </si>
  <si>
    <t xml:space="preserve">habitación</t>
  </si>
  <si>
    <t xml:space="preserve">Single. A 5 min del Convention Center</t>
  </si>
  <si>
    <t xml:space="preserve">The Venetian — habitaciones staff (noche 1)</t>
  </si>
  <si>
    <t xml:space="preserve">Cena de bienvenida en The Venetian</t>
  </si>
  <si>
    <t xml:space="preserve">Delmonico Steakhouse o Bouchon</t>
  </si>
  <si>
    <t xml:space="preserve">Día 1</t>
  </si>
  <si>
    <t xml:space="preserve">vie 5 nov</t>
  </si>
  <si>
    <t xml:space="preserve">Desayuno</t>
  </si>
  <si>
    <t xml:space="preserve">Entrada SEMA Show (viernes público)</t>
  </si>
  <si>
    <t xml:space="preserve">USD 130 en 2026 — poner 0 si en 2027 vuelve a ser gratuito</t>
  </si>
  <si>
    <t xml:space="preserve">Traslados Strip (sprinter 3 h mínimo)</t>
  </si>
  <si>
    <t xml:space="preserve">Convention Center ↔ hotel ↔ cena</t>
  </si>
  <si>
    <t xml:space="preserve">Cena Hard Rock Café / Coyote Ugly</t>
  </si>
  <si>
    <t xml:space="preserve">The Venetian — suite por participante (noche 2)</t>
  </si>
  <si>
    <t xml:space="preserve">The Venetian — habitaciones staff (noche 2)</t>
  </si>
  <si>
    <t xml:space="preserve">Día 2</t>
  </si>
  <si>
    <t xml:space="preserve">sáb 6 nov</t>
  </si>
  <si>
    <t xml:space="preserve">Alquiler auto clásico (5 días)</t>
  </si>
  <si>
    <t xml:space="preserve">auto</t>
  </si>
  <si>
    <t xml:space="preserve">Depósito de garantía (USD 2.500–5.000 por auto) no es costo: se devuelve</t>
  </si>
  <si>
    <t xml:space="preserve">Seguro por auto (5 días)</t>
  </si>
  <si>
    <t xml:space="preserve">Combustible por auto (recorrido completo)</t>
  </si>
  <si>
    <t xml:space="preserve">Ver km y consumo en Supuestos</t>
  </si>
  <si>
    <t xml:space="preserve">Evento de entrega de autos — Fremont Street</t>
  </si>
  <si>
    <t xml:space="preserve">Permiso + montaje + sesión de fotos</t>
  </si>
  <si>
    <t xml:space="preserve">Almuerzo en Boulder City</t>
  </si>
  <si>
    <t xml:space="preserve">Hoover Dam — Dam Tour oficial</t>
  </si>
  <si>
    <t xml:space="preserve">Último tour 15:30; el atardecer es en miradores y puente</t>
  </si>
  <si>
    <t xml:space="preserve">Hoover Dam — guía privado y experiencia al atardecer</t>
  </si>
  <si>
    <t xml:space="preserve">Boulder Dam Hotel — habitaciones</t>
  </si>
  <si>
    <t xml:space="preserve">Hotel de 20 habitaciones: con 15 pax, reservar completo</t>
  </si>
  <si>
    <t xml:space="preserve">Cena en Boulder Dam Hotel</t>
  </si>
  <si>
    <t xml:space="preserve">Día 3</t>
  </si>
  <si>
    <t xml:space="preserve">dom 7 nov</t>
  </si>
  <si>
    <t xml:space="preserve">Almuerzo diner en Kingman (Mr. D'z)</t>
  </si>
  <si>
    <t xml:space="preserve">Tras Oatman (burros, tiroteo escenificado)</t>
  </si>
  <si>
    <t xml:space="preserve">Parada en Seligman (Snow Cap)</t>
  </si>
  <si>
    <t xml:space="preserve">Cuna del renacimiento de la Ruta 66</t>
  </si>
  <si>
    <t xml:space="preserve">Motel años 50 en Williams — habitaciones</t>
  </si>
  <si>
    <t xml:space="preserve">El Rancho Motel / The Lodge on Route 66</t>
  </si>
  <si>
    <t xml:space="preserve">Fiesta rock &amp; roll (banda, jukebox, neón, barra)</t>
  </si>
  <si>
    <t xml:space="preserve">Cena de la fiesta</t>
  </si>
  <si>
    <t xml:space="preserve">Día 4</t>
  </si>
  <si>
    <t xml:space="preserve">lun 8 nov</t>
  </si>
  <si>
    <t xml:space="preserve">Ingreso Gran Cañón por vehículo</t>
  </si>
  <si>
    <t xml:space="preserve">Autos + vehículo de apoyo</t>
  </si>
  <si>
    <t xml:space="preserve">Recargo no residente Gran Cañón (por persona)</t>
  </si>
  <si>
    <t xml:space="preserve">Política NPS 2026, confirmar para 2027</t>
  </si>
  <si>
    <t xml:space="preserve">Helicóptero borde sur (participantes + videógrafo)</t>
  </si>
  <si>
    <t xml:space="preserve">Papillon Grand Kingdom 40–50 min</t>
  </si>
  <si>
    <t xml:space="preserve">Almuerzo El Tovar Dining Room</t>
  </si>
  <si>
    <t xml:space="preserve">Barbacoa western privada — catering por persona</t>
  </si>
  <si>
    <t xml:space="preserve">Barbacoa western privada — rancho, fogón, música en vivo</t>
  </si>
  <si>
    <t xml:space="preserve">Rancho cerca de Tusayan</t>
  </si>
  <si>
    <t xml:space="preserve">El Tovar Hotel — habitaciones</t>
  </si>
  <si>
    <t xml:space="preserve">Reservar 13 meses antes (oct-2026)</t>
  </si>
  <si>
    <t xml:space="preserve">Día 5</t>
  </si>
  <si>
    <t xml:space="preserve">mar 9 nov</t>
  </si>
  <si>
    <t xml:space="preserve">Almuerzo Peach Springs / Hualapai</t>
  </si>
  <si>
    <t xml:space="preserve">Valle de Fuego — ingreso por vehículo</t>
  </si>
  <si>
    <t xml:space="preserve">Circa Resort (Downtown) — habitaciones</t>
  </si>
  <si>
    <t xml:space="preserve">Fuera del Strip, a 5 min del Museo del Neón</t>
  </si>
  <si>
    <t xml:space="preserve">Cena speakeasy</t>
  </si>
  <si>
    <t xml:space="preserve">The Laundry Room (Commonwealth) / Underground (Mob Museum)</t>
  </si>
  <si>
    <t xml:space="preserve">Museo del Neón nocturno + tour guiado</t>
  </si>
  <si>
    <t xml:space="preserve">Día 6</t>
  </si>
  <si>
    <t xml:space="preserve">mié 10 nov</t>
  </si>
  <si>
    <t xml:space="preserve">Experiencia de pista — Exotics Racing / SpeedVegas</t>
  </si>
  <si>
    <t xml:space="preserve">Participantes + Javier (contenido)</t>
  </si>
  <si>
    <t xml:space="preserve">Traslados del día (speedway, devolución, cena) — sprinter 4 h</t>
  </si>
  <si>
    <t xml:space="preserve">Almuerzo de despedida Golden Steer</t>
  </si>
  <si>
    <t xml:space="preserve">Mesa de Sinatra / Elvis</t>
  </si>
  <si>
    <t xml:space="preserve">Cirque du Soleil 'O' (si se incluye)</t>
  </si>
  <si>
    <t xml:space="preserve">Opcional: por defecto se vende aparte</t>
  </si>
  <si>
    <t xml:space="preserve">Cena de cierre Eiffel Tower Restaurant</t>
  </si>
  <si>
    <t xml:space="preserve">Vista a las fuentes del Bellagio</t>
  </si>
  <si>
    <t xml:space="preserve">Bellagio — habitaciones Fountain View</t>
  </si>
  <si>
    <t xml:space="preserve">Noche de cierre en el Strip; 'O' es en el mismo hotel</t>
  </si>
  <si>
    <t xml:space="preserve">Día 7</t>
  </si>
  <si>
    <t xml:space="preserve">jue 11 nov</t>
  </si>
  <si>
    <t xml:space="preserve">Sprinter 3 h: hotel → Fashion Show / Premium Outlets → aeropuerto</t>
  </si>
  <si>
    <t xml:space="preserve">Compras no incluidas</t>
  </si>
  <si>
    <t xml:space="preserve">TOTAL COSTOS DIRECTOS</t>
  </si>
  <si>
    <t xml:space="preserve">Escenarios: 5 participantes vs. 15 participantes — costo fijo vs. variable</t>
  </si>
  <si>
    <t xml:space="preserve">Todas las cifras salen de 'Costos por día' (SUMIFS). Cambiá los supuestos y esta hoja se actualiza.</t>
  </si>
  <si>
    <t xml:space="preserve">Concepto</t>
  </si>
  <si>
    <t xml:space="preserve">Escenario 1</t>
  </si>
  <si>
    <t xml:space="preserve">Escenario 2</t>
  </si>
  <si>
    <t xml:space="preserve">Participantes</t>
  </si>
  <si>
    <t xml:space="preserve">Staff</t>
  </si>
  <si>
    <t xml:space="preserve">Autos clásicos</t>
  </si>
  <si>
    <t xml:space="preserve">Costos FIJOS (no dependen de los participantes)</t>
  </si>
  <si>
    <t xml:space="preserve">Staff, producción, vehículo de apoyo, eventos privados, traslados grupales</t>
  </si>
  <si>
    <t xml:space="preserve">Costos VARIABLES (escalan con participantes/autos)</t>
  </si>
  <si>
    <t xml:space="preserve">Vuelos, autos, hoteles, comidas, actividades por persona</t>
  </si>
  <si>
    <t xml:space="preserve">Costos directos</t>
  </si>
  <si>
    <t xml:space="preserve">Contingencia</t>
  </si>
  <si>
    <t xml:space="preserve">Sobre costos directos</t>
  </si>
  <si>
    <t xml:space="preserve">Costos financieros / cobro</t>
  </si>
  <si>
    <t xml:space="preserve">Sobre ingresos</t>
  </si>
  <si>
    <t xml:space="preserve">COSTO TOTAL</t>
  </si>
  <si>
    <t xml:space="preserve">Costo total por participante</t>
  </si>
  <si>
    <t xml:space="preserve">Costo fijo por participante</t>
  </si>
  <si>
    <t xml:space="preserve">Acá está el apalancamiento de escala</t>
  </si>
  <si>
    <t xml:space="preserve">Costo variable por participante</t>
  </si>
  <si>
    <t xml:space="preserve">Desglose por día</t>
  </si>
  <si>
    <t xml:space="preserve">Esc. 1 por participante</t>
  </si>
  <si>
    <t xml:space="preserve">Esc. 2 por participante</t>
  </si>
  <si>
    <t xml:space="preserve">Total directo</t>
  </si>
  <si>
    <t xml:space="preserve">Desglose por rubro</t>
  </si>
  <si>
    <t xml:space="preserve">Rubro</t>
  </si>
  <si>
    <t xml:space="preserve">Vuelos</t>
  </si>
  <si>
    <t xml:space="preserve">Hoteles</t>
  </si>
  <si>
    <t xml:space="preserve">Autos clásicos (alquiler, seguro, combustible)</t>
  </si>
  <si>
    <t xml:space="preserve">Comidas</t>
  </si>
  <si>
    <t xml:space="preserve">Cenas y almuerzos</t>
  </si>
  <si>
    <t xml:space="preserve">Almuerzos</t>
  </si>
  <si>
    <t xml:space="preserve">Helicóptero</t>
  </si>
  <si>
    <t xml:space="preserve">Pista</t>
  </si>
  <si>
    <t xml:space="preserve">Traslados</t>
  </si>
  <si>
    <t xml:space="preserve">(Los rubros se agrupan por el nombre de la actividad; las categorías no son exhaustivas ni excluyentes)</t>
  </si>
  <si>
    <t xml:space="preserve">Margen y rentabilidad a USD 30.000 por persona</t>
  </si>
  <si>
    <t xml:space="preserve">Ingresos = participantes × precio. Costos desde 'Escenarios 5 vs 15'. Upgrade business y 'O' se venden como extras con margen propio.</t>
  </si>
  <si>
    <t xml:space="preserve">Escenario 1 (5 pax)</t>
  </si>
  <si>
    <t xml:space="preserve">Escenario 2 (15 pax)</t>
  </si>
  <si>
    <t xml:space="preserve">Precio por persona</t>
  </si>
  <si>
    <t xml:space="preserve">INGRESOS</t>
  </si>
  <si>
    <t xml:space="preserve">Costos fijos</t>
  </si>
  <si>
    <t xml:space="preserve">Costos variables</t>
  </si>
  <si>
    <t xml:space="preserve">Contingencia + costos financieros</t>
  </si>
  <si>
    <t xml:space="preserve">MARGEN BRUTO (USD)</t>
  </si>
  <si>
    <t xml:space="preserve">Margen bruto (%)</t>
  </si>
  <si>
    <t xml:space="preserve">Margen por participante</t>
  </si>
  <si>
    <t xml:space="preserve">Costo variable por participante (incl. contingencia y financieros)</t>
  </si>
  <si>
    <t xml:space="preserve">Contribución por participante (precio − variable)</t>
  </si>
  <si>
    <t xml:space="preserve">Punto de equilibrio (participantes)</t>
  </si>
  <si>
    <t xml:space="preserve">Participantes necesarios para cubrir los costos fijos (los fijos cambian poco entre escenarios)</t>
  </si>
  <si>
    <t xml:space="preserve">Extras opcionales (se venden aparte, margen adicional)</t>
  </si>
  <si>
    <t xml:space="preserve">Extra</t>
  </si>
  <si>
    <t xml:space="preserve">Costo</t>
  </si>
  <si>
    <t xml:space="preserve">Precio sugerido</t>
  </si>
  <si>
    <t xml:space="preserve">Margen unitario</t>
  </si>
  <si>
    <t xml:space="preserve">Upgrade a business EZE–LAS</t>
  </si>
  <si>
    <t xml:space="preserve">Cirque du Soleil 'O' (categoría buena)</t>
  </si>
  <si>
    <t xml:space="preserve">Copiloto acompañante (comparte auto y habitación doble)</t>
  </si>
  <si>
    <t xml:space="preserve">El copiloto no suma auto ni habitación (comparte), por eso su costo es mucho menor que el de un participante pleno: precio sugerido ≈ costo × 1,6.</t>
  </si>
  <si>
    <t xml:space="preserve">Sensibilidad: margen bruto (USD) según precio y cantidad de participantes</t>
  </si>
  <si>
    <t xml:space="preserve">Usa el costo fijo del esc. 2 y el costo variable por participante del esc. 2 (hoja Escenarios); contingencia y financieros incluidos.</t>
  </si>
  <si>
    <t xml:space="preserve">Participantes \ Precio</t>
  </si>
  <si>
    <t xml:space="preserve">Sensibilidad: margen bruto (%)</t>
  </si>
  <si>
    <t xml:space="preserve">Travesía Ruta 66 — Supuestos y fuentes</t>
  </si>
  <si>
    <t xml:space="preserve">Celdas en AZUL sobre fondo amarillo = entradas editables. Todo lo demás se recalcula. Precios en USD, relevados oct-2026 para un viaje en nov-2027: aplicar el ajuste de inflación de la fila 'Ajuste de precios a 2027'.</t>
  </si>
  <si>
    <t xml:space="preserve">Clave</t>
  </si>
  <si>
    <t xml:space="preserve">Supuesto</t>
  </si>
  <si>
    <t xml:space="preserve">Valor</t>
  </si>
  <si>
    <t xml:space="preserve">Fuente / justificación</t>
  </si>
  <si>
    <t xml:space="preserve">URL</t>
  </si>
  <si>
    <t xml:space="preserve">ESCENARIO Y PRECIO</t>
  </si>
  <si>
    <t xml:space="preserve">PAX_A</t>
  </si>
  <si>
    <t xml:space="preserve">Participantes — escenario 1 (primer viaje)</t>
  </si>
  <si>
    <t xml:space="preserve">personas</t>
  </si>
  <si>
    <t xml:space="preserve">Definido por Fantasma Garage</t>
  </si>
  <si>
    <t xml:space="preserve">PAX_B</t>
  </si>
  <si>
    <t xml:space="preserve">Participantes — escenario 2 (a partir del 2º viaje)</t>
  </si>
  <si>
    <t xml:space="preserve">PRECIO</t>
  </si>
  <si>
    <t xml:space="preserve">Precio de venta por persona</t>
  </si>
  <si>
    <t xml:space="preserve">USD/persona</t>
  </si>
  <si>
    <t xml:space="preserve">Precio objetivo definido por Fantasma Garage</t>
  </si>
  <si>
    <t xml:space="preserve">STAFF</t>
  </si>
  <si>
    <t xml:space="preserve">Staff que viaja desde Argentina (Javier, Jorge, Alejandro)</t>
  </si>
  <si>
    <t xml:space="preserve">Definido por Fantasma Garage — turista, sin auto propio, rotan como acompañantes</t>
  </si>
  <si>
    <t xml:space="preserve">STAFF_ROOMS</t>
  </si>
  <si>
    <t xml:space="preserve">Habitaciones de staff por noche</t>
  </si>
  <si>
    <t xml:space="preserve">habitaciones</t>
  </si>
  <si>
    <t xml:space="preserve">Supuesto: Javier en single, Jorge y Alejandro comparten. Cambiar a 3 si van en singles.</t>
  </si>
  <si>
    <t xml:space="preserve">INFL</t>
  </si>
  <si>
    <t xml:space="preserve">Ajuste de precios a nov-2027 (inflación USD + temporada SEMA)</t>
  </si>
  <si>
    <t xml:space="preserve">%</t>
  </si>
  <si>
    <t xml:space="preserve">Supuesto: ~3% inflación anual EE.UU. x1 año + colchón por SEMA (semana de mayor demanda hotelera del año en Las Vegas)</t>
  </si>
  <si>
    <t xml:space="preserve">CONTING</t>
  </si>
  <si>
    <t xml:space="preserve">Contingencia sobre costos directos</t>
  </si>
  <si>
    <t xml:space="preserve">Supuesto de buenas prácticas para viajes a medida con proveedores a confirmar</t>
  </si>
  <si>
    <t xml:space="preserve">FIN</t>
  </si>
  <si>
    <t xml:space="preserve">Costos financieros / pasarela de cobro sobre ingresos</t>
  </si>
  <si>
    <t xml:space="preserve">Supuesto: comisión de cobro internacional (tarjeta/transferencia) + diferencia de cambio</t>
  </si>
  <si>
    <t xml:space="preserve">INCL_O</t>
  </si>
  <si>
    <t xml:space="preserve">¿Incluir Cirque du Soleil 'O' en el precio? (1 = sí, 0 = opcional aparte)</t>
  </si>
  <si>
    <t xml:space="preserve">1/0</t>
  </si>
  <si>
    <t xml:space="preserve">Decisión Fantasma Garage: opcional, no incluido</t>
  </si>
  <si>
    <t xml:space="preserve">VUELOS Y SEGUROS</t>
  </si>
  <si>
    <t xml:space="preserve">VUELO_ECO</t>
  </si>
  <si>
    <t xml:space="preserve">Vuelo EZE–LAS ida y vuelta, turista</t>
  </si>
  <si>
    <t xml:space="preserve">KAYAK: promedio 12 meses USD 984, rango típico 886–1.223; ofertas nov. 1.001–1.151. Se toma el techo del rango (temporada SEMA, 1 escala)</t>
  </si>
  <si>
    <t xml:space="preserve">https://www.kayak.com/flight-routes/Buenos-Aires-Ministro-Pistarini-EZE/Las-Vegas-McCarran-LAS</t>
  </si>
  <si>
    <t xml:space="preserve">VUELO_BIZ</t>
  </si>
  <si>
    <t xml:space="preserve">Vuelo EZE–LAS ida y vuelta, business (solo para cotizar el upgrade opcional)</t>
  </si>
  <si>
    <t xml:space="preserve">KAYAK: promedio business EE.UU.–Buenos Aires USD 3.988; 'buen precio' ≤ 3.390</t>
  </si>
  <si>
    <t xml:space="preserve">https://www.kayak.com/flight-routes/Business-Class-United-States-US0/Buenos-Aires-BUE.bc.ksp</t>
  </si>
  <si>
    <t xml:space="preserve">SEG_VIAJE</t>
  </si>
  <si>
    <t xml:space="preserve">Asistencia al viajero / seguro médico EE.UU.</t>
  </si>
  <si>
    <t xml:space="preserve">USD/persona/día</t>
  </si>
  <si>
    <t xml:space="preserve">Supuesto a partir de cotizaciones Assist Card (≈ AR$ 9.700/día en ene-2026 con promo); cotizar plan con cobertura ≥ USD 150.000</t>
  </si>
  <si>
    <t xml:space="preserve">https://www.assistcard.com/ar/seguro-de-viaje-estados-unidos</t>
  </si>
  <si>
    <t xml:space="preserve">DIAS_SEG</t>
  </si>
  <si>
    <t xml:space="preserve">Días de cobertura (jue 4 → jue 11 + viaje)</t>
  </si>
  <si>
    <t xml:space="preserve">días</t>
  </si>
  <si>
    <t xml:space="preserve">Itinerario</t>
  </si>
  <si>
    <t xml:space="preserve">AUTOS CLÁSICOS Y COMBUSTIBLE</t>
  </si>
  <si>
    <t xml:space="preserve">AUTO_DIA</t>
  </si>
  <si>
    <t xml:space="preserve">Alquiler auto clásico (Mustang '65–'69, Chevelle '68, Firebird, GS) por día</t>
  </si>
  <si>
    <t xml:space="preserve">USD/auto/día</t>
  </si>
  <si>
    <t xml:space="preserve">777 Exotics Las Vegas: 1965 Mustang Conv. USD 449/día, 1966 GT350 y 1969 Mustang USD 499/día, '68 Chevelle USD 449/día. Ride Free (1969 Camaro) USD 499/día, 150 mi/día incluidas</t>
  </si>
  <si>
    <t xml:space="preserve">https://777exoticslv.com/classic-car-rentals/</t>
  </si>
  <si>
    <t xml:space="preserve">AUTO_DIAS</t>
  </si>
  <si>
    <t xml:space="preserve">Días de alquiler (sáb 6 → mié 10)</t>
  </si>
  <si>
    <t xml:space="preserve">Itinerario: entrega sábado, devolución miércoles</t>
  </si>
  <si>
    <t xml:space="preserve">AUTO_SEG</t>
  </si>
  <si>
    <t xml:space="preserve">Seguro por auto (daño + responsabilidad civil suplementaria)</t>
  </si>
  <si>
    <t xml:space="preserve">Bonzah/RentalCover: daño USD 7–15/día; se suma responsabilidad suplementaria hasta USD 1M y recargo por vehículo de colección. Confirmar con el rentador (exigen póliza primaria)</t>
  </si>
  <si>
    <t xml:space="preserve">https://www.thetraveler.org/bonzah-vs-rentalcover-which-rental-car-insurance-wins/</t>
  </si>
  <si>
    <t xml:space="preserve">AUTOS_PP</t>
  </si>
  <si>
    <t xml:space="preserve">Autos por participante</t>
  </si>
  <si>
    <t xml:space="preserve">autos/persona</t>
  </si>
  <si>
    <t xml:space="preserve">Definido: un auto por persona (0,5 si viajan con copiloto)</t>
  </si>
  <si>
    <t xml:space="preserve">KM_TOTAL</t>
  </si>
  <si>
    <t xml:space="preserve">Kilómetros totales del recorrido por auto</t>
  </si>
  <si>
    <t xml:space="preserve">km</t>
  </si>
  <si>
    <t xml:space="preserve">Suma de tramos (ver hoja 'Costos por día'): LAS–Boulder City 42 km, Hoover 13, Boulder–Kingman 120, Kingman–Oatman ida/vuelta 90, Kingman–Seligman 140, Seligman–Williams 70, Williams–GC 95, GC–Peach Springs 225, Peach Springs–Kingman 80, Kingman–Valle de Fuego 245, VdF–LAS 90, Speedway ida/vuelta 60, margen 80</t>
  </si>
  <si>
    <t xml:space="preserve">https://www.aaa.com/tripcanvas/roadtrip/route-66-western-arizona-road-trip-AA156</t>
  </si>
  <si>
    <t xml:space="preserve">MPG</t>
  </si>
  <si>
    <t xml:space="preserve">Consumo clásico V8 (millas por galón)</t>
  </si>
  <si>
    <t xml:space="preserve">mpg</t>
  </si>
  <si>
    <t xml:space="preserve">Supuesto: muscle car V8 carburado 1965–1977, ruta mixta con montaña</t>
  </si>
  <si>
    <t xml:space="preserve">GAS</t>
  </si>
  <si>
    <t xml:space="preserve">Nafta regular (promedio NV/AZ)</t>
  </si>
  <si>
    <t xml:space="preserve">USD/galón</t>
  </si>
  <si>
    <t xml:space="preserve">AAA oct-2026: Nevada USD 5,33 (Las Vegas 5,38), Arizona USD 4,55. Promedio ponderado por km</t>
  </si>
  <si>
    <t xml:space="preserve">https://www.fox5vegas.com/2026/10/22/aaa-nevada-data-shows-gas-prices-falling/</t>
  </si>
  <si>
    <t xml:space="preserve">APOYO_DIA</t>
  </si>
  <si>
    <t xml:space="preserve">Vehículo de apoyo (pickup F-150 / SUV grande) por día</t>
  </si>
  <si>
    <t xml:space="preserve">USD/día</t>
  </si>
  <si>
    <t xml:space="preserve">KAYAK: pickups en Las Vegas promedio £44–51/día (~USD 60–70), octubre el mes más caro (~£71 ≈ USD 95)</t>
  </si>
  <si>
    <t xml:space="preserve">https://www.kayak.co.uk/Las-Vegas-Pick-up-truck-Car-Hire.35107.cpk.ksp</t>
  </si>
  <si>
    <t xml:space="preserve">APOYO_DIAS</t>
  </si>
  <si>
    <t xml:space="preserve">Días vehículo de apoyo</t>
  </si>
  <si>
    <t xml:space="preserve">Jue 4 → jue 11 (también se usa para traslados cortos y equipaje)</t>
  </si>
  <si>
    <t xml:space="preserve">APOYO_EXTRA</t>
  </si>
  <si>
    <t xml:space="preserve">Herramientas, repuestos, aceite, combustible del vehículo de apoyo</t>
  </si>
  <si>
    <t xml:space="preserve">USD fijo</t>
  </si>
  <si>
    <t xml:space="preserve">Supuesto: kit de ruta para 8 autos clásicos (correas, bujías, mangueras, batería de arranque, fluidos) + ~1.400 km de combustible del pickup</t>
  </si>
  <si>
    <t xml:space="preserve">HOTELES (precio por habitación y noche, impuestos y resort fee incluidos)</t>
  </si>
  <si>
    <t xml:space="preserve">H_VENETIAN</t>
  </si>
  <si>
    <t xml:space="preserve">The Venetian Resort — suite estándar (jue 4 y vie 5)</t>
  </si>
  <si>
    <t xml:space="preserve">USD/hab/noche</t>
  </si>
  <si>
    <t xml:space="preserve">KAYAK: promedio dom–jue USD 360, vie–sáb USD 457 (suites 650 ft²) + resort fee USD 45 + 13,38% = USD 51,02/noche. Semana SEMA: tomar valor alto</t>
  </si>
  <si>
    <t xml:space="preserve">https://www.kayak.com/Las-Vegas-Hotels-The-Venetian-Resort-Las-Vegas.31420.ksp</t>
  </si>
  <si>
    <t xml:space="preserve">H_BOULDER</t>
  </si>
  <si>
    <t xml:space="preserve">Boulder Dam Hotel (histórico, 1933) — sáb 6</t>
  </si>
  <si>
    <t xml:space="preserve">KAYAK: USD 88–166/noche con cargos; promedio fin de semana USD 146. Hotel de 20 habitaciones: con 15 pax conviene reservar el hotel completo</t>
  </si>
  <si>
    <t xml:space="preserve">https://www.kayak.com/Boulder-City-Hotels-Boulder-Dam-Hotel.3239.ksp</t>
  </si>
  <si>
    <t xml:space="preserve">H_WILLIAMS</t>
  </si>
  <si>
    <t xml:space="preserve">Motel años 50 restaurado en Williams (El Rancho / The Lodge on Route 66) — dom 7</t>
  </si>
  <si>
    <t xml:space="preserve">KAYAK: El Rancho Motel USD 91–146/noche, octubre promedio USD 131 ('vibe sesentoso', en la Ruta 66). Se suma margen por bloqueo de habitaciones</t>
  </si>
  <si>
    <t xml:space="preserve">https://www.kayak.com/Williams-Hotels-El-Rancho-Motel.78717.ksp</t>
  </si>
  <si>
    <t xml:space="preserve">H_ELTOVAR</t>
  </si>
  <si>
    <t xml:space="preserve">El Tovar Hotel (1905, borde sur) — lun 8</t>
  </si>
  <si>
    <t xml:space="preserve">Xanterra: 'varios cientos de dólares por noche' + 6,9% impuesto; suites no siempre online. Reservas abren 13 meses antes → reservar en oct-2026</t>
  </si>
  <si>
    <t xml:space="preserve">https://getcostidea.com/how-much-does-it-cost-to-stay-at-el-tovar-hotel-grand-canyon-rates-fees/</t>
  </si>
  <si>
    <t xml:space="preserve">H_CIRCA</t>
  </si>
  <si>
    <t xml:space="preserve">Circa Resort (Downtown, solo adultos, Fremont St.) — mar 9</t>
  </si>
  <si>
    <t xml:space="preserve">Resort fee USD 50 (Las Vegas Advisor) + tarifa estimada USD 250 (martes). Alternativa: Golden Nugget (fee USD 46)</t>
  </si>
  <si>
    <t xml:space="preserve">https://www.lasvegasadvisor.com/resort-fees-downtown/</t>
  </si>
  <si>
    <t xml:space="preserve">H_BELLAGIO</t>
  </si>
  <si>
    <t xml:space="preserve">Bellagio — Fountain View (mié 10, noche de cierre)</t>
  </si>
  <si>
    <t xml:space="preserve">lasvegaswonders: Fountain View USD 229–299 entre semana + resort fee USD 55 + impuesto ≈ USD 62; valet USD 35/día</t>
  </si>
  <si>
    <t xml:space="preserve">https://lasvegaswonders.com/?p=8834</t>
  </si>
  <si>
    <t xml:space="preserve">COMIDAS (por persona, con impuestos y propina 18–20%)</t>
  </si>
  <si>
    <t xml:space="preserve">DESAYUNO</t>
  </si>
  <si>
    <t xml:space="preserve">Desayuno promedio</t>
  </si>
  <si>
    <t xml:space="preserve">Supuesto: desayuno en hotel/diner. Boulder Dam Hotel lo incluye</t>
  </si>
  <si>
    <t xml:space="preserve">CENA_VENETIAN</t>
  </si>
  <si>
    <t xml:space="preserve">Cena de bienvenida en The Venetian (Delmonico / Bouchon)</t>
  </si>
  <si>
    <t xml:space="preserve">Supuesto en línea con steakhouses premium del Strip: cortes USD 75–150 + guarniciones USD 18–24 (lasvegaswonders)</t>
  </si>
  <si>
    <t xml:space="preserve">https://lasvegaswonders.com/las-vegas-steakhouse-prices/</t>
  </si>
  <si>
    <t xml:space="preserve">CENA_HARDROCK</t>
  </si>
  <si>
    <t xml:space="preserve">Cena Hard Rock Café (menú 'Electric' 3 pasos) o Coyote Ugly</t>
  </si>
  <si>
    <t xml:space="preserve">Expedia: menú Electric USD 66,25 pp con impuestos y 18% propina</t>
  </si>
  <si>
    <t xml:space="preserve">https://www.expedia.com/things-to-do/comer-en-el-hard-rock-cafe-las-vegas-strip.a438498.detalles-actividades</t>
  </si>
  <si>
    <t xml:space="preserve">ALM_BOULDER</t>
  </si>
  <si>
    <t xml:space="preserve">Almuerzo en Boulder City (centro histórico)</t>
  </si>
  <si>
    <t xml:space="preserve">Supuesto: restaurante local</t>
  </si>
  <si>
    <t xml:space="preserve">CENA_BOULDER</t>
  </si>
  <si>
    <t xml:space="preserve">Supuesto: menú grupal en el restaurante del hotel</t>
  </si>
  <si>
    <t xml:space="preserve">ALM_KINGMAN</t>
  </si>
  <si>
    <t xml:space="preserve">Almuerzo diner de época en Kingman (Mr. D'z Route 66 Diner)</t>
  </si>
  <si>
    <t xml:space="preserve">Supuesto: diner clásico</t>
  </si>
  <si>
    <t xml:space="preserve">SNACK_SELIGMAN</t>
  </si>
  <si>
    <t xml:space="preserve">Parada en Seligman (Delgadillo's Snow Cap)</t>
  </si>
  <si>
    <t xml:space="preserve">CENA_WILLIAMS</t>
  </si>
  <si>
    <t xml:space="preserve">Cena fiesta rock &amp; roll en Williams</t>
  </si>
  <si>
    <t xml:space="preserve">Supuesto: BBQ/burgers + bebidas</t>
  </si>
  <si>
    <t xml:space="preserve">ALM_GC</t>
  </si>
  <si>
    <t xml:space="preserve">Almuerzo en el Gran Cañón (El Tovar Dining Room)</t>
  </si>
  <si>
    <t xml:space="preserve">BBQ_PP</t>
  </si>
  <si>
    <t xml:space="preserve">Barbacoa privada western — catering premium por persona</t>
  </si>
  <si>
    <t xml:space="preserve">latestcost.com: BBQ catering premium (cortes premium, ahumados, servicio completo) ≈ USD 123 por invitado</t>
  </si>
  <si>
    <t xml:space="preserve">https://latestcost.com/bbq-25-guests-cost-price/</t>
  </si>
  <si>
    <t xml:space="preserve">ALM_HUALAPAI</t>
  </si>
  <si>
    <t xml:space="preserve">Almuerzo en Peach Springs (Hualapai Lodge) / Kingman</t>
  </si>
  <si>
    <t xml:space="preserve">CENA_SPEAKEASY</t>
  </si>
  <si>
    <t xml:space="preserve">Cena speakeasy (The Laundry Room / Underground, Downtown)</t>
  </si>
  <si>
    <t xml:space="preserve">Supuesto: cena + cócteles de autor, reserva privada</t>
  </si>
  <si>
    <t xml:space="preserve">ALM_GOLDEN</t>
  </si>
  <si>
    <t xml:space="preserve">Almuerzo de despedida Golden Steer Steakhouse</t>
  </si>
  <si>
    <t xml:space="preserve">lasvegaswonders: cortes USD 60–85 + USD ~40 pp en guarniciones/ensalada/propina; se suma bebida</t>
  </si>
  <si>
    <t xml:space="preserve">CENA_CIERRE</t>
  </si>
  <si>
    <t xml:space="preserve">Cena de cierre Eiffel Tower Restaurant (frente a las fuentes del Bellagio)</t>
  </si>
  <si>
    <t xml:space="preserve">Supuesto: menú degustación + vino (nivel de tasting menus del Strip USD 139–199 pp)</t>
  </si>
  <si>
    <t xml:space="preserve">ACTIVIDADES Y EXPERIENCIAS</t>
  </si>
  <si>
    <t xml:space="preserve">SEMA</t>
  </si>
  <si>
    <t xml:space="preserve">Entrada SEMA Show viernes (único día abierto al público)</t>
  </si>
  <si>
    <t xml:space="preserve">SEMA 2026: 'SEMA Show Friday' USD 130 (solo piso), USD 170 con concierto SEMA Fest. En 2026 NO es gratis; verificar política 2027</t>
  </si>
  <si>
    <t xml:space="preserve">https://theweeklydriver.com/2026/10/sema-show-2026-complete-guide/</t>
  </si>
  <si>
    <t xml:space="preserve">ENTREGA_AUTOS</t>
  </si>
  <si>
    <t xml:space="preserve">Evento de entrega de autos en Fremont Street (permiso, montaje, fotografía)</t>
  </si>
  <si>
    <t xml:space="preserve">Supuesto: permiso de uso de espacio + señalética + ambientación</t>
  </si>
  <si>
    <t xml:space="preserve">HOOVER_TOUR</t>
  </si>
  <si>
    <t xml:space="preserve">Hoover Dam — Dam Tour oficial (ingreso a galerías)</t>
  </si>
  <si>
    <t xml:space="preserve">USBR: Dam Tour USD 30 / Powerplant Tour USD 15 (ver guía de costos)</t>
  </si>
  <si>
    <t xml:space="preserve">https://www.maxtour.co/how-much-are-tours-from-las-vegas-to-the-hoover-dam/</t>
  </si>
  <si>
    <t xml:space="preserve">HOOVER_PRIV</t>
  </si>
  <si>
    <t xml:space="preserve">Guía privado + experiencia atardecer (miradores, puente O'Callaghan–Tillman)</t>
  </si>
  <si>
    <t xml:space="preserve">Referencia: tours privados de grupo desde USD 823 pp para 2 personas (Expedia); con guía local por hora el fijo grupal ronda USD 1.000–1.500</t>
  </si>
  <si>
    <t xml:space="preserve">https://www.expedia.com/things-to-do/private-group-hoover-dam-highlights-tour-from-las-vegas.a4590436.activity-details</t>
  </si>
  <si>
    <t xml:space="preserve">FIESTA_WILLIAMS</t>
  </si>
  <si>
    <t xml:space="preserve">Fiesta rock &amp; roll en Williams (banda/DJ 50s, jukebox, neón, barra)</t>
  </si>
  <si>
    <t xml:space="preserve">Supuesto: banda tributo 3 h USD 1.200–1.800 + ambientación y barra</t>
  </si>
  <si>
    <t xml:space="preserve">GC_VEHICULO</t>
  </si>
  <si>
    <t xml:space="preserve">USD/vehículo</t>
  </si>
  <si>
    <t xml:space="preserve">NPS: USD 35 por vehículo privado (7 días)</t>
  </si>
  <si>
    <t xml:space="preserve">https://www.flyingdawnmarie.com/new-blog/national-park-pass-changes-2026</t>
  </si>
  <si>
    <t xml:space="preserve">GC_NORES</t>
  </si>
  <si>
    <t xml:space="preserve">Recargo no residente EE.UU. (vigente desde 1-ene-2026)</t>
  </si>
  <si>
    <t xml:space="preserve">Política NPS 2026: USD 100 por persona extranjera en 11 parques (incluye Grand Canyon). Alternativa: pase anual no residente USD 250</t>
  </si>
  <si>
    <t xml:space="preserve">HELI</t>
  </si>
  <si>
    <t xml:space="preserve">Helicóptero borde sur — Papillon 'Grand Kingdom' 40–50 min</t>
  </si>
  <si>
    <t xml:space="preserve">Papillon: North Canyon 25–30' desde USD 309; Grand Kingdom 40–50' desde USD 359. Recomendado: South Rim (ya están en El Tovar); los vuelos con aterrizaje son solo desde West Rim/Las Vegas (USD 500+)</t>
  </si>
  <si>
    <t xml:space="preserve">https://papillon.com/las-vegas-tours/south-rim/helicopter</t>
  </si>
  <si>
    <t xml:space="preserve">BBQ_FIJO</t>
  </si>
  <si>
    <t xml:space="preserve">Barbacoa privada — rancho, fogón, parrilla de leña, música en vivo, montaje</t>
  </si>
  <si>
    <t xml:space="preserve">Supuesto: alquiler de rancho/espacio en Tusayan + dúo/trío country 3 h + logística (Flagstaff a 130 km)</t>
  </si>
  <si>
    <t xml:space="preserve">https://www.canyonstarsteakhouse.com/dinner-menu/</t>
  </si>
  <si>
    <t xml:space="preserve">VOF</t>
  </si>
  <si>
    <t xml:space="preserve">Valle de Fuego — ingreso por vehículo (fuera de Nevada)</t>
  </si>
  <si>
    <t xml:space="preserve">Nevada State Parks: USD 15 vehículo de otro estado, USD 10 residentes</t>
  </si>
  <si>
    <t xml:space="preserve">https://thebettervacation.com/de/Las-Vegas/Tal-des-Feuers/</t>
  </si>
  <si>
    <t xml:space="preserve">NEON</t>
  </si>
  <si>
    <t xml:space="preserve">Museo del Neón — admisión nocturna + tour guiado</t>
  </si>
  <si>
    <t xml:space="preserve">Neon Museum: nocturna USD 35 + tour guiado USD 15; tours privados a cotizar</t>
  </si>
  <si>
    <t xml:space="preserve">https://neonmuseum.org/news/how-much-does-it-cost-to-visit-the-neon-museum/</t>
  </si>
  <si>
    <t xml:space="preserve">PISTA</t>
  </si>
  <si>
    <t xml:space="preserve">Experiencia de pista Exotics Racing / SpeedVegas (2 autos × 5 vueltas)</t>
  </si>
  <si>
    <t xml:space="preserve">SpeedVegas 2026: 5 vueltas Lamborghini/Ferrari USD 399, Porsche GT4 RS 349, AMG GT R 299. Exotics Racing: 20 vueltas Corvette Z06 USD 899. Paquete sugerido: Ferrari 488 + Corvette</t>
  </si>
  <si>
    <t xml:space="preserve">https://lasvegaswonders.com/?p=9456</t>
  </si>
  <si>
    <t xml:space="preserve">CIRQUE_O</t>
  </si>
  <si>
    <t xml:space="preserve">Cirque du Soleil 'O' — Bellagio (categoría buena)</t>
  </si>
  <si>
    <t xml:space="preserve">thebettervacation: entradas desde USD 109 hasta más de USD 250</t>
  </si>
  <si>
    <t xml:space="preserve">https://thebettervacation.com/las-vegas/best-shows-in-las-vegas/</t>
  </si>
  <si>
    <t xml:space="preserve">TRASLADOS Y LOGÍSTICA</t>
  </si>
  <si>
    <t xml:space="preserve">SPRINTER_AERO</t>
  </si>
  <si>
    <t xml:space="preserve">Sprinter chofer aeropuerto ↔ hotel (hasta 14 pax)</t>
  </si>
  <si>
    <t xml:space="preserve">USD/vehículo/tramo</t>
  </si>
  <si>
    <t xml:space="preserve">Detailed Drivers: LAS → Bellagio USD 550 todo incluido; USD 240/h con mínimo 3 h</t>
  </si>
  <si>
    <t xml:space="preserve">https://www.detaileddrivers.com/locations/las-vegas/sprinter-van-rental</t>
  </si>
  <si>
    <t xml:space="preserve">SPRINTER_CAP</t>
  </si>
  <si>
    <t xml:space="preserve">Capacidad por sprinter</t>
  </si>
  <si>
    <t xml:space="preserve">pax</t>
  </si>
  <si>
    <t xml:space="preserve">Detailed Drivers: hasta 14 pasajeros y 12 valijas</t>
  </si>
  <si>
    <t xml:space="preserve">SPRINTER_HORA</t>
  </si>
  <si>
    <t xml:space="preserve">Sprinter por hora (mínimo 3 h)</t>
  </si>
  <si>
    <t xml:space="preserve">USD/hora</t>
  </si>
  <si>
    <t xml:space="preserve">Detailed Drivers</t>
  </si>
  <si>
    <t xml:space="preserve">PRODUCCIÓN, MARKETING Y OTROS</t>
  </si>
  <si>
    <t xml:space="preserve">FOTO</t>
  </si>
  <si>
    <t xml:space="preserve">Producción foto/video (equipo extra, drone y permisos, música, edición, almacenamiento)</t>
  </si>
  <si>
    <t xml:space="preserve">Supuesto. Jorge viaja como staff (sin honorario extra). Drones prohibidos dentro del Parque Nacional</t>
  </si>
  <si>
    <t xml:space="preserve">MERCH</t>
  </si>
  <si>
    <t xml:space="preserve">Kit de bienvenida por participante (campera, gorra, placa grabada, roadbook)</t>
  </si>
  <si>
    <t xml:space="preserve">PREVIAJE</t>
  </si>
  <si>
    <t xml:space="preserve">Pre-viaje: reuniones, seguro de RC del organizador, gestoría, señalética</t>
  </si>
  <si>
    <t xml:space="preserve">VALORES DERIVADOS (fórmulas)</t>
  </si>
  <si>
    <t xml:space="preserve">AUTOS_A</t>
  </si>
  <si>
    <t xml:space="preserve">Autos clásicos — escenario 1</t>
  </si>
  <si>
    <t xml:space="preserve">AUTOS_B</t>
  </si>
  <si>
    <t xml:space="preserve">Autos clásicos — escenario 2</t>
  </si>
  <si>
    <t xml:space="preserve">COMB_AUTO</t>
  </si>
  <si>
    <t xml:space="preserve">Combustible por auto clásico (km → millas / mpg × precio)</t>
  </si>
  <si>
    <t xml:space="preserve">COMB_KM</t>
  </si>
  <si>
    <t xml:space="preserve">Combustible por km recorrido (por auto)</t>
  </si>
  <si>
    <t xml:space="preserve">SPR_A</t>
  </si>
  <si>
    <t xml:space="preserve">Sprinters necesarios por tramo — esc. 1</t>
  </si>
  <si>
    <t xml:space="preserve">SPR_B</t>
  </si>
  <si>
    <t xml:space="preserve">Sprinters necesarios por tramo — esc. 2</t>
  </si>
  <si>
    <t xml:space="preserve">UPGRADE_BIZ</t>
  </si>
  <si>
    <t xml:space="preserve">Upgrade a business (precio sugerido al cliente = diferencia × 1,15)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</si>
</sst>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"/>
    <numFmt numFmtId="167" formatCode="0.0%"/>
    <numFmt numFmtId="168" formatCode="0.0"/>
    <numFmt numFmtId="169" formatCode="\$#,##0.00;&quot;($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2385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888888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23859"/>
        <bgColor rgb="FF003300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238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55555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F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2385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kayak.com/flight-routes/Buenos-Aires-Ministro-Pistarini-EZE/Las-Vegas-McCarran-LAS" TargetMode="External"/><Relationship Id="rId2" Type="http://schemas.openxmlformats.org/officeDocument/2006/relationships/hyperlink" Target="https://www.kayak.com/flight-routes/Business-Class-United-States-US0/Buenos-Aires-BUE.bc.ksp" TargetMode="External"/><Relationship Id="rId3" Type="http://schemas.openxmlformats.org/officeDocument/2006/relationships/hyperlink" Target="https://www.assistcard.com/ar/seguro-de-viaje-estados-unidos" TargetMode="External"/><Relationship Id="rId4" Type="http://schemas.openxmlformats.org/officeDocument/2006/relationships/hyperlink" Target="https://777exoticslv.com/classic-car-rentals/" TargetMode="External"/><Relationship Id="rId5" Type="http://schemas.openxmlformats.org/officeDocument/2006/relationships/hyperlink" Target="https://www.thetraveler.org/bonzah-vs-rentalcover-which-rental-car-insurance-wins/" TargetMode="External"/><Relationship Id="rId6" Type="http://schemas.openxmlformats.org/officeDocument/2006/relationships/hyperlink" Target="https://www.aaa.com/tripcanvas/roadtrip/route-66-western-arizona-road-trip-AA156" TargetMode="External"/><Relationship Id="rId7" Type="http://schemas.openxmlformats.org/officeDocument/2006/relationships/hyperlink" Target="https://www.fox5vegas.com/2026/10/22/aaa-nevada-data-shows-gas-prices-falling/" TargetMode="External"/><Relationship Id="rId8" Type="http://schemas.openxmlformats.org/officeDocument/2006/relationships/hyperlink" Target="https://www.kayak.co.uk/Las-Vegas-Pick-up-truck-Car-Hire.35107.cpk.ksp" TargetMode="External"/><Relationship Id="rId9" Type="http://schemas.openxmlformats.org/officeDocument/2006/relationships/hyperlink" Target="https://www.kayak.com/Las-Vegas-Hotels-The-Venetian-Resort-Las-Vegas.31420.ksp" TargetMode="External"/><Relationship Id="rId10" Type="http://schemas.openxmlformats.org/officeDocument/2006/relationships/hyperlink" Target="https://www.kayak.com/Boulder-City-Hotels-Boulder-Dam-Hotel.3239.ksp" TargetMode="External"/><Relationship Id="rId11" Type="http://schemas.openxmlformats.org/officeDocument/2006/relationships/hyperlink" Target="https://www.kayak.com/Williams-Hotels-El-Rancho-Motel.78717.ksp" TargetMode="External"/><Relationship Id="rId12" Type="http://schemas.openxmlformats.org/officeDocument/2006/relationships/hyperlink" Target="https://getcostidea.com/how-much-does-it-cost-to-stay-at-el-tovar-hotel-grand-canyon-rates-fees/" TargetMode="External"/><Relationship Id="rId13" Type="http://schemas.openxmlformats.org/officeDocument/2006/relationships/hyperlink" Target="https://www.lasvegasadvisor.com/resort-fees-downtown/" TargetMode="External"/><Relationship Id="rId14" Type="http://schemas.openxmlformats.org/officeDocument/2006/relationships/hyperlink" Target="https://lasvegaswonders.com/?p=8834" TargetMode="External"/><Relationship Id="rId15" Type="http://schemas.openxmlformats.org/officeDocument/2006/relationships/hyperlink" Target="https://lasvegaswonders.com/las-vegas-steakhouse-prices/" TargetMode="External"/><Relationship Id="rId16" Type="http://schemas.openxmlformats.org/officeDocument/2006/relationships/hyperlink" Target="https://www.expedia.com/things-to-do/comer-en-el-hard-rock-cafe-las-vegas-strip.a438498.detalles-actividades" TargetMode="External"/><Relationship Id="rId17" Type="http://schemas.openxmlformats.org/officeDocument/2006/relationships/hyperlink" Target="https://latestcost.com/bbq-25-guests-cost-price/" TargetMode="External"/><Relationship Id="rId18" Type="http://schemas.openxmlformats.org/officeDocument/2006/relationships/hyperlink" Target="https://lasvegaswonders.com/las-vegas-steakhouse-prices/" TargetMode="External"/><Relationship Id="rId19" Type="http://schemas.openxmlformats.org/officeDocument/2006/relationships/hyperlink" Target="https://lasvegaswonders.com/las-vegas-steakhouse-prices/" TargetMode="External"/><Relationship Id="rId20" Type="http://schemas.openxmlformats.org/officeDocument/2006/relationships/hyperlink" Target="https://theweeklydriver.com/2026/10/sema-show-2026-complete-guide/" TargetMode="External"/><Relationship Id="rId21" Type="http://schemas.openxmlformats.org/officeDocument/2006/relationships/hyperlink" Target="https://www.maxtour.co/how-much-are-tours-from-las-vegas-to-the-hoover-dam/" TargetMode="External"/><Relationship Id="rId22" Type="http://schemas.openxmlformats.org/officeDocument/2006/relationships/hyperlink" Target="https://www.expedia.com/things-to-do/private-group-hoover-dam-highlights-tour-from-las-vegas.a4590436.activity-details" TargetMode="External"/><Relationship Id="rId23" Type="http://schemas.openxmlformats.org/officeDocument/2006/relationships/hyperlink" Target="https://www.flyingdawnmarie.com/new-blog/national-park-pass-changes-2026" TargetMode="External"/><Relationship Id="rId24" Type="http://schemas.openxmlformats.org/officeDocument/2006/relationships/hyperlink" Target="https://www.flyingdawnmarie.com/new-blog/national-park-pass-changes-2026" TargetMode="External"/><Relationship Id="rId25" Type="http://schemas.openxmlformats.org/officeDocument/2006/relationships/hyperlink" Target="https://papillon.com/las-vegas-tours/south-rim/helicopter" TargetMode="External"/><Relationship Id="rId26" Type="http://schemas.openxmlformats.org/officeDocument/2006/relationships/hyperlink" Target="https://www.canyonstarsteakhouse.com/dinner-menu/" TargetMode="External"/><Relationship Id="rId27" Type="http://schemas.openxmlformats.org/officeDocument/2006/relationships/hyperlink" Target="https://thebettervacation.com/de/Las-Vegas/Tal-des-Feuers/" TargetMode="External"/><Relationship Id="rId28" Type="http://schemas.openxmlformats.org/officeDocument/2006/relationships/hyperlink" Target="https://neonmuseum.org/news/how-much-does-it-cost-to-visit-the-neon-museum/" TargetMode="External"/><Relationship Id="rId29" Type="http://schemas.openxmlformats.org/officeDocument/2006/relationships/hyperlink" Target="https://lasvegaswonders.com/?p=9456" TargetMode="External"/><Relationship Id="rId30" Type="http://schemas.openxmlformats.org/officeDocument/2006/relationships/hyperlink" Target="https://thebettervacation.com/las-vegas/best-shows-in-las-vegas/" TargetMode="External"/><Relationship Id="rId31" Type="http://schemas.openxmlformats.org/officeDocument/2006/relationships/hyperlink" Target="https://www.detaileddrivers.com/locations/las-vegas/sprinter-van-rental" TargetMode="External"/><Relationship Id="rId32" Type="http://schemas.openxmlformats.org/officeDocument/2006/relationships/hyperlink" Target="https://www.detaileddrivers.com/locations/las-vegas/sprinter-van-rental" TargetMode="External"/><Relationship Id="rId33" Type="http://schemas.openxmlformats.org/officeDocument/2006/relationships/hyperlink" Target="https://www.detaileddrivers.com/locations/las-vegas/sprinter-van-renta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58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5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2.35" hidden="false" customHeight="false" outlineLevel="0" collapsed="false">
      <c r="A5" s="4" t="s">
        <v>14</v>
      </c>
      <c r="B5" s="4" t="s">
        <v>15</v>
      </c>
      <c r="C5" s="5" t="s">
        <v>16</v>
      </c>
      <c r="D5" s="4" t="s">
        <v>17</v>
      </c>
      <c r="E5" s="6" t="n">
        <f aca="false">'Supuestos y fuentes'!$C$16</f>
        <v>1150</v>
      </c>
      <c r="F5" s="7" t="n">
        <f aca="false">E5*(1+'Supuestos y fuentes'!$C$11)</f>
        <v>1219</v>
      </c>
      <c r="G5" s="4" t="s">
        <v>18</v>
      </c>
      <c r="H5" s="8" t="n">
        <f aca="false">'Supuestos y fuentes'!$C$6</f>
        <v>5</v>
      </c>
      <c r="I5" s="7" t="n">
        <f aca="false">F5*H5</f>
        <v>6095</v>
      </c>
      <c r="J5" s="8" t="n">
        <f aca="false">'Supuestos y fuentes'!$C$7</f>
        <v>15</v>
      </c>
      <c r="K5" s="7" t="n">
        <f aca="false">F5*J5</f>
        <v>18285</v>
      </c>
      <c r="L5" s="9" t="s">
        <v>19</v>
      </c>
    </row>
    <row r="6" customFormat="false" ht="15" hidden="false" customHeight="false" outlineLevel="0" collapsed="false">
      <c r="A6" s="4" t="s">
        <v>14</v>
      </c>
      <c r="B6" s="4" t="s">
        <v>15</v>
      </c>
      <c r="C6" s="5" t="s">
        <v>20</v>
      </c>
      <c r="D6" s="4" t="s">
        <v>21</v>
      </c>
      <c r="E6" s="6" t="n">
        <f aca="false">'Supuestos y fuentes'!$C$16</f>
        <v>1150</v>
      </c>
      <c r="F6" s="7" t="n">
        <f aca="false">E6*(1+'Supuestos y fuentes'!$C$11)</f>
        <v>1219</v>
      </c>
      <c r="G6" s="4" t="s">
        <v>18</v>
      </c>
      <c r="H6" s="8" t="n">
        <f aca="false">'Supuestos y fuentes'!$C$9</f>
        <v>3</v>
      </c>
      <c r="I6" s="7" t="n">
        <f aca="false">F6*H6</f>
        <v>3657</v>
      </c>
      <c r="J6" s="8" t="n">
        <f aca="false">'Supuestos y fuentes'!$C$9</f>
        <v>3</v>
      </c>
      <c r="K6" s="7" t="n">
        <f aca="false">F6*J6</f>
        <v>3657</v>
      </c>
      <c r="L6" s="9" t="s">
        <v>22</v>
      </c>
    </row>
    <row r="7" customFormat="false" ht="15" hidden="false" customHeight="false" outlineLevel="0" collapsed="false">
      <c r="A7" s="4" t="s">
        <v>14</v>
      </c>
      <c r="B7" s="4" t="s">
        <v>15</v>
      </c>
      <c r="C7" s="5" t="s">
        <v>23</v>
      </c>
      <c r="D7" s="4" t="s">
        <v>17</v>
      </c>
      <c r="E7" s="6" t="n">
        <f aca="false">'Supuestos y fuentes'!$C$18*'Supuestos y fuentes'!$C$19</f>
        <v>81</v>
      </c>
      <c r="F7" s="7" t="n">
        <f aca="false">E7*(1+'Supuestos y fuentes'!$C$11)</f>
        <v>85.86</v>
      </c>
      <c r="G7" s="4" t="s">
        <v>18</v>
      </c>
      <c r="H7" s="8" t="n">
        <f aca="false">'Supuestos y fuentes'!$C$6+'Supuestos y fuentes'!$C$9</f>
        <v>8</v>
      </c>
      <c r="I7" s="7" t="n">
        <f aca="false">F7*H7</f>
        <v>686.88</v>
      </c>
      <c r="J7" s="8" t="n">
        <f aca="false">'Supuestos y fuentes'!$C$7+'Supuestos y fuentes'!$C$9</f>
        <v>18</v>
      </c>
      <c r="K7" s="7" t="n">
        <f aca="false">F7*J7</f>
        <v>1545.48</v>
      </c>
      <c r="L7" s="9" t="s">
        <v>24</v>
      </c>
    </row>
    <row r="8" customFormat="false" ht="15" hidden="false" customHeight="false" outlineLevel="0" collapsed="false">
      <c r="A8" s="4" t="s">
        <v>14</v>
      </c>
      <c r="B8" s="4" t="s">
        <v>15</v>
      </c>
      <c r="C8" s="5" t="s">
        <v>25</v>
      </c>
      <c r="D8" s="4" t="s">
        <v>17</v>
      </c>
      <c r="E8" s="6" t="n">
        <f aca="false">'Supuestos y fuentes'!$C$73</f>
        <v>250</v>
      </c>
      <c r="F8" s="7" t="n">
        <f aca="false">E8*(1+'Supuestos y fuentes'!$C$11)</f>
        <v>265</v>
      </c>
      <c r="G8" s="4" t="s">
        <v>18</v>
      </c>
      <c r="H8" s="8" t="n">
        <f aca="false">'Supuestos y fuentes'!$C$6</f>
        <v>5</v>
      </c>
      <c r="I8" s="7" t="n">
        <f aca="false">F8*H8</f>
        <v>1325</v>
      </c>
      <c r="J8" s="8" t="n">
        <f aca="false">'Supuestos y fuentes'!$C$7</f>
        <v>15</v>
      </c>
      <c r="K8" s="7" t="n">
        <f aca="false">F8*J8</f>
        <v>3975</v>
      </c>
      <c r="L8" s="9"/>
    </row>
    <row r="9" customFormat="false" ht="15" hidden="false" customHeight="false" outlineLevel="0" collapsed="false">
      <c r="A9" s="4" t="s">
        <v>14</v>
      </c>
      <c r="B9" s="4" t="s">
        <v>15</v>
      </c>
      <c r="C9" s="5" t="s">
        <v>26</v>
      </c>
      <c r="D9" s="4" t="s">
        <v>21</v>
      </c>
      <c r="E9" s="6" t="n">
        <f aca="false">'Supuestos y fuentes'!$C$72</f>
        <v>3000</v>
      </c>
      <c r="F9" s="7" t="n">
        <f aca="false">E9*(1+'Supuestos y fuentes'!$C$11)</f>
        <v>3180</v>
      </c>
      <c r="G9" s="4" t="s">
        <v>27</v>
      </c>
      <c r="H9" s="8" t="n">
        <f aca="false">1</f>
        <v>1</v>
      </c>
      <c r="I9" s="7" t="n">
        <f aca="false">F9*H9</f>
        <v>3180</v>
      </c>
      <c r="J9" s="8" t="n">
        <f aca="false">1</f>
        <v>1</v>
      </c>
      <c r="K9" s="7" t="n">
        <f aca="false">F9*J9</f>
        <v>3180</v>
      </c>
      <c r="L9" s="9" t="s">
        <v>28</v>
      </c>
    </row>
    <row r="10" customFormat="false" ht="15" hidden="false" customHeight="false" outlineLevel="0" collapsed="false">
      <c r="A10" s="4" t="s">
        <v>14</v>
      </c>
      <c r="B10" s="4" t="s">
        <v>15</v>
      </c>
      <c r="C10" s="5" t="s">
        <v>29</v>
      </c>
      <c r="D10" s="4" t="s">
        <v>21</v>
      </c>
      <c r="E10" s="6" t="n">
        <f aca="false">'Supuestos y fuentes'!$C$74</f>
        <v>2000</v>
      </c>
      <c r="F10" s="7" t="n">
        <f aca="false">E10*(1+'Supuestos y fuentes'!$C$11)</f>
        <v>2120</v>
      </c>
      <c r="G10" s="4" t="s">
        <v>27</v>
      </c>
      <c r="H10" s="8" t="n">
        <f aca="false">1</f>
        <v>1</v>
      </c>
      <c r="I10" s="7" t="n">
        <f aca="false">F10*H10</f>
        <v>2120</v>
      </c>
      <c r="J10" s="8" t="n">
        <f aca="false">1</f>
        <v>1</v>
      </c>
      <c r="K10" s="7" t="n">
        <f aca="false">F10*J10</f>
        <v>2120</v>
      </c>
      <c r="L10" s="9"/>
    </row>
    <row r="11" customFormat="false" ht="15" hidden="false" customHeight="false" outlineLevel="0" collapsed="false">
      <c r="A11" s="4" t="s">
        <v>14</v>
      </c>
      <c r="B11" s="4" t="s">
        <v>15</v>
      </c>
      <c r="C11" s="5" t="s">
        <v>30</v>
      </c>
      <c r="D11" s="4" t="s">
        <v>21</v>
      </c>
      <c r="E11" s="6" t="n">
        <f aca="false">'Supuestos y fuentes'!$C$28*'Supuestos y fuentes'!$C$29</f>
        <v>665</v>
      </c>
      <c r="F11" s="7" t="n">
        <f aca="false">E11*(1+'Supuestos y fuentes'!$C$11)</f>
        <v>704.9</v>
      </c>
      <c r="G11" s="4" t="s">
        <v>27</v>
      </c>
      <c r="H11" s="8" t="n">
        <f aca="false">1</f>
        <v>1</v>
      </c>
      <c r="I11" s="7" t="n">
        <f aca="false">F11*H11</f>
        <v>704.9</v>
      </c>
      <c r="J11" s="8" t="n">
        <f aca="false">1</f>
        <v>1</v>
      </c>
      <c r="K11" s="7" t="n">
        <f aca="false">F11*J11</f>
        <v>704.9</v>
      </c>
      <c r="L11" s="9" t="s">
        <v>31</v>
      </c>
    </row>
    <row r="12" customFormat="false" ht="15" hidden="false" customHeight="false" outlineLevel="0" collapsed="false">
      <c r="A12" s="4" t="s">
        <v>14</v>
      </c>
      <c r="B12" s="4" t="s">
        <v>15</v>
      </c>
      <c r="C12" s="5" t="s">
        <v>32</v>
      </c>
      <c r="D12" s="4" t="s">
        <v>21</v>
      </c>
      <c r="E12" s="6" t="n">
        <f aca="false">'Supuestos y fuentes'!$C$30</f>
        <v>900</v>
      </c>
      <c r="F12" s="7" t="n">
        <f aca="false">E12*(1+'Supuestos y fuentes'!$C$11)</f>
        <v>954</v>
      </c>
      <c r="G12" s="4" t="s">
        <v>27</v>
      </c>
      <c r="H12" s="8" t="n">
        <f aca="false">1</f>
        <v>1</v>
      </c>
      <c r="I12" s="7" t="n">
        <f aca="false">F12*H12</f>
        <v>954</v>
      </c>
      <c r="J12" s="8" t="n">
        <f aca="false">1</f>
        <v>1</v>
      </c>
      <c r="K12" s="7" t="n">
        <f aca="false">F12*J12</f>
        <v>954</v>
      </c>
      <c r="L12" s="9"/>
    </row>
    <row r="13" customFormat="false" ht="15" hidden="false" customHeight="false" outlineLevel="0" collapsed="false">
      <c r="A13" s="4" t="s">
        <v>33</v>
      </c>
      <c r="B13" s="4" t="s">
        <v>34</v>
      </c>
      <c r="C13" s="5" t="s">
        <v>35</v>
      </c>
      <c r="D13" s="4" t="s">
        <v>21</v>
      </c>
      <c r="E13" s="6" t="n">
        <f aca="false">'Supuestos y fuentes'!$C$68</f>
        <v>550</v>
      </c>
      <c r="F13" s="7" t="n">
        <f aca="false">E13*(1+'Supuestos y fuentes'!$C$11)</f>
        <v>583</v>
      </c>
      <c r="G13" s="4" t="s">
        <v>36</v>
      </c>
      <c r="H13" s="8" t="n">
        <f aca="false">'Supuestos y fuentes'!$C$81</f>
        <v>1</v>
      </c>
      <c r="I13" s="7" t="n">
        <f aca="false">F13*H13</f>
        <v>583</v>
      </c>
      <c r="J13" s="8" t="n">
        <f aca="false">'Supuestos y fuentes'!$C$82</f>
        <v>2</v>
      </c>
      <c r="K13" s="7" t="n">
        <f aca="false">F13*J13</f>
        <v>1166</v>
      </c>
      <c r="L13" s="9" t="s">
        <v>37</v>
      </c>
    </row>
    <row r="14" customFormat="false" ht="15" hidden="false" customHeight="false" outlineLevel="0" collapsed="false">
      <c r="A14" s="4" t="s">
        <v>33</v>
      </c>
      <c r="B14" s="4" t="s">
        <v>34</v>
      </c>
      <c r="C14" s="5" t="s">
        <v>38</v>
      </c>
      <c r="D14" s="4" t="s">
        <v>17</v>
      </c>
      <c r="E14" s="6" t="n">
        <f aca="false">'Supuestos y fuentes'!$C$32</f>
        <v>520</v>
      </c>
      <c r="F14" s="7" t="n">
        <f aca="false">E14*(1+'Supuestos y fuentes'!$C$11)</f>
        <v>551.2</v>
      </c>
      <c r="G14" s="4" t="s">
        <v>39</v>
      </c>
      <c r="H14" s="8" t="n">
        <f aca="false">'Supuestos y fuentes'!$C$6</f>
        <v>5</v>
      </c>
      <c r="I14" s="7" t="n">
        <f aca="false">F14*H14</f>
        <v>2756</v>
      </c>
      <c r="J14" s="8" t="n">
        <f aca="false">'Supuestos y fuentes'!$C$7</f>
        <v>15</v>
      </c>
      <c r="K14" s="7" t="n">
        <f aca="false">F14*J14</f>
        <v>8268</v>
      </c>
      <c r="L14" s="9" t="s">
        <v>40</v>
      </c>
    </row>
    <row r="15" customFormat="false" ht="15" hidden="false" customHeight="false" outlineLevel="0" collapsed="false">
      <c r="A15" s="4" t="s">
        <v>33</v>
      </c>
      <c r="B15" s="4" t="s">
        <v>34</v>
      </c>
      <c r="C15" s="5" t="s">
        <v>41</v>
      </c>
      <c r="D15" s="4" t="s">
        <v>21</v>
      </c>
      <c r="E15" s="6" t="n">
        <f aca="false">'Supuestos y fuentes'!$C$32</f>
        <v>520</v>
      </c>
      <c r="F15" s="7" t="n">
        <f aca="false">E15*(1+'Supuestos y fuentes'!$C$11)</f>
        <v>551.2</v>
      </c>
      <c r="G15" s="4" t="s">
        <v>39</v>
      </c>
      <c r="H15" s="8" t="n">
        <f aca="false">'Supuestos y fuentes'!$C$10</f>
        <v>2</v>
      </c>
      <c r="I15" s="7" t="n">
        <f aca="false">F15*H15</f>
        <v>1102.4</v>
      </c>
      <c r="J15" s="8" t="n">
        <f aca="false">'Supuestos y fuentes'!$C$10</f>
        <v>2</v>
      </c>
      <c r="K15" s="7" t="n">
        <f aca="false">F15*J15</f>
        <v>1102.4</v>
      </c>
      <c r="L15" s="9"/>
    </row>
    <row r="16" customFormat="false" ht="15" hidden="false" customHeight="false" outlineLevel="0" collapsed="false">
      <c r="A16" s="4" t="s">
        <v>33</v>
      </c>
      <c r="B16" s="4" t="s">
        <v>34</v>
      </c>
      <c r="C16" s="5" t="s">
        <v>42</v>
      </c>
      <c r="D16" s="4" t="s">
        <v>17</v>
      </c>
      <c r="E16" s="6" t="n">
        <f aca="false">'Supuestos y fuentes'!$C$40</f>
        <v>160</v>
      </c>
      <c r="F16" s="7" t="n">
        <f aca="false">E16*(1+'Supuestos y fuentes'!$C$11)</f>
        <v>169.6</v>
      </c>
      <c r="G16" s="4" t="s">
        <v>18</v>
      </c>
      <c r="H16" s="8" t="n">
        <f aca="false">'Supuestos y fuentes'!$C$6+'Supuestos y fuentes'!$C$9</f>
        <v>8</v>
      </c>
      <c r="I16" s="7" t="n">
        <f aca="false">F16*H16</f>
        <v>1356.8</v>
      </c>
      <c r="J16" s="8" t="n">
        <f aca="false">'Supuestos y fuentes'!$C$7+'Supuestos y fuentes'!$C$9</f>
        <v>18</v>
      </c>
      <c r="K16" s="7" t="n">
        <f aca="false">F16*J16</f>
        <v>3052.8</v>
      </c>
      <c r="L16" s="9" t="s">
        <v>43</v>
      </c>
    </row>
    <row r="17" customFormat="false" ht="15" hidden="false" customHeight="false" outlineLevel="0" collapsed="false">
      <c r="A17" s="4" t="s">
        <v>44</v>
      </c>
      <c r="B17" s="4" t="s">
        <v>45</v>
      </c>
      <c r="C17" s="5" t="s">
        <v>46</v>
      </c>
      <c r="D17" s="4" t="s">
        <v>17</v>
      </c>
      <c r="E17" s="6" t="n">
        <f aca="false">'Supuestos y fuentes'!$C$39</f>
        <v>30</v>
      </c>
      <c r="F17" s="7" t="n">
        <f aca="false">E17*(1+'Supuestos y fuentes'!$C$11)</f>
        <v>31.8</v>
      </c>
      <c r="G17" s="4" t="s">
        <v>18</v>
      </c>
      <c r="H17" s="8" t="n">
        <f aca="false">'Supuestos y fuentes'!$C$6+'Supuestos y fuentes'!$C$9</f>
        <v>8</v>
      </c>
      <c r="I17" s="7" t="n">
        <f aca="false">F17*H17</f>
        <v>254.4</v>
      </c>
      <c r="J17" s="8" t="n">
        <f aca="false">'Supuestos y fuentes'!$C$7+'Supuestos y fuentes'!$C$9</f>
        <v>18</v>
      </c>
      <c r="K17" s="7" t="n">
        <f aca="false">F17*J17</f>
        <v>572.4</v>
      </c>
      <c r="L17" s="9"/>
    </row>
    <row r="18" customFormat="false" ht="15" hidden="false" customHeight="false" outlineLevel="0" collapsed="false">
      <c r="A18" s="4" t="s">
        <v>44</v>
      </c>
      <c r="B18" s="4" t="s">
        <v>45</v>
      </c>
      <c r="C18" s="5" t="s">
        <v>47</v>
      </c>
      <c r="D18" s="4" t="s">
        <v>17</v>
      </c>
      <c r="E18" s="6" t="n">
        <f aca="false">'Supuestos y fuentes'!$C$54</f>
        <v>130</v>
      </c>
      <c r="F18" s="7" t="n">
        <f aca="false">E18*(1+'Supuestos y fuentes'!$C$11)</f>
        <v>137.8</v>
      </c>
      <c r="G18" s="4" t="s">
        <v>18</v>
      </c>
      <c r="H18" s="8" t="n">
        <f aca="false">'Supuestos y fuentes'!$C$6+'Supuestos y fuentes'!$C$9</f>
        <v>8</v>
      </c>
      <c r="I18" s="7" t="n">
        <f aca="false">F18*H18</f>
        <v>1102.4</v>
      </c>
      <c r="J18" s="8" t="n">
        <f aca="false">'Supuestos y fuentes'!$C$7+'Supuestos y fuentes'!$C$9</f>
        <v>18</v>
      </c>
      <c r="K18" s="7" t="n">
        <f aca="false">F18*J18</f>
        <v>2480.4</v>
      </c>
      <c r="L18" s="9" t="s">
        <v>48</v>
      </c>
    </row>
    <row r="19" customFormat="false" ht="15" hidden="false" customHeight="false" outlineLevel="0" collapsed="false">
      <c r="A19" s="4" t="s">
        <v>44</v>
      </c>
      <c r="B19" s="4" t="s">
        <v>45</v>
      </c>
      <c r="C19" s="5" t="s">
        <v>49</v>
      </c>
      <c r="D19" s="4" t="s">
        <v>21</v>
      </c>
      <c r="E19" s="6" t="n">
        <f aca="false">'Supuestos y fuentes'!$C$70*3</f>
        <v>720</v>
      </c>
      <c r="F19" s="7" t="n">
        <f aca="false">E19*(1+'Supuestos y fuentes'!$C$11)</f>
        <v>763.2</v>
      </c>
      <c r="G19" s="4" t="s">
        <v>36</v>
      </c>
      <c r="H19" s="8" t="n">
        <f aca="false">'Supuestos y fuentes'!$C$81</f>
        <v>1</v>
      </c>
      <c r="I19" s="7" t="n">
        <f aca="false">F19*H19</f>
        <v>763.2</v>
      </c>
      <c r="J19" s="8" t="n">
        <f aca="false">'Supuestos y fuentes'!$C$82</f>
        <v>2</v>
      </c>
      <c r="K19" s="7" t="n">
        <f aca="false">F19*J19</f>
        <v>1526.4</v>
      </c>
      <c r="L19" s="9" t="s">
        <v>50</v>
      </c>
    </row>
    <row r="20" customFormat="false" ht="15" hidden="false" customHeight="false" outlineLevel="0" collapsed="false">
      <c r="A20" s="4" t="s">
        <v>44</v>
      </c>
      <c r="B20" s="4" t="s">
        <v>45</v>
      </c>
      <c r="C20" s="5" t="s">
        <v>51</v>
      </c>
      <c r="D20" s="4" t="s">
        <v>17</v>
      </c>
      <c r="E20" s="6" t="n">
        <f aca="false">'Supuestos y fuentes'!$C$41</f>
        <v>70</v>
      </c>
      <c r="F20" s="7" t="n">
        <f aca="false">E20*(1+'Supuestos y fuentes'!$C$11)</f>
        <v>74.2</v>
      </c>
      <c r="G20" s="4" t="s">
        <v>18</v>
      </c>
      <c r="H20" s="8" t="n">
        <f aca="false">'Supuestos y fuentes'!$C$6+'Supuestos y fuentes'!$C$9</f>
        <v>8</v>
      </c>
      <c r="I20" s="7" t="n">
        <f aca="false">F20*H20</f>
        <v>593.6</v>
      </c>
      <c r="J20" s="8" t="n">
        <f aca="false">'Supuestos y fuentes'!$C$7+'Supuestos y fuentes'!$C$9</f>
        <v>18</v>
      </c>
      <c r="K20" s="7" t="n">
        <f aca="false">F20*J20</f>
        <v>1335.6</v>
      </c>
      <c r="L20" s="9"/>
    </row>
    <row r="21" customFormat="false" ht="15" hidden="false" customHeight="false" outlineLevel="0" collapsed="false">
      <c r="A21" s="4" t="s">
        <v>44</v>
      </c>
      <c r="B21" s="4" t="s">
        <v>45</v>
      </c>
      <c r="C21" s="5" t="s">
        <v>52</v>
      </c>
      <c r="D21" s="4" t="s">
        <v>17</v>
      </c>
      <c r="E21" s="6" t="n">
        <f aca="false">'Supuestos y fuentes'!$C$32</f>
        <v>520</v>
      </c>
      <c r="F21" s="7" t="n">
        <f aca="false">E21*(1+'Supuestos y fuentes'!$C$11)</f>
        <v>551.2</v>
      </c>
      <c r="G21" s="4" t="s">
        <v>39</v>
      </c>
      <c r="H21" s="8" t="n">
        <f aca="false">'Supuestos y fuentes'!$C$6</f>
        <v>5</v>
      </c>
      <c r="I21" s="7" t="n">
        <f aca="false">F21*H21</f>
        <v>2756</v>
      </c>
      <c r="J21" s="8" t="n">
        <f aca="false">'Supuestos y fuentes'!$C$7</f>
        <v>15</v>
      </c>
      <c r="K21" s="7" t="n">
        <f aca="false">F21*J21</f>
        <v>8268</v>
      </c>
      <c r="L21" s="9"/>
    </row>
    <row r="22" customFormat="false" ht="15" hidden="false" customHeight="false" outlineLevel="0" collapsed="false">
      <c r="A22" s="4" t="s">
        <v>44</v>
      </c>
      <c r="B22" s="4" t="s">
        <v>45</v>
      </c>
      <c r="C22" s="5" t="s">
        <v>53</v>
      </c>
      <c r="D22" s="4" t="s">
        <v>21</v>
      </c>
      <c r="E22" s="6" t="n">
        <f aca="false">'Supuestos y fuentes'!$C$32</f>
        <v>520</v>
      </c>
      <c r="F22" s="7" t="n">
        <f aca="false">E22*(1+'Supuestos y fuentes'!$C$11)</f>
        <v>551.2</v>
      </c>
      <c r="G22" s="4" t="s">
        <v>39</v>
      </c>
      <c r="H22" s="8" t="n">
        <f aca="false">'Supuestos y fuentes'!$C$10</f>
        <v>2</v>
      </c>
      <c r="I22" s="7" t="n">
        <f aca="false">F22*H22</f>
        <v>1102.4</v>
      </c>
      <c r="J22" s="8" t="n">
        <f aca="false">'Supuestos y fuentes'!$C$10</f>
        <v>2</v>
      </c>
      <c r="K22" s="7" t="n">
        <f aca="false">F22*J22</f>
        <v>1102.4</v>
      </c>
      <c r="L22" s="9"/>
    </row>
    <row r="23" customFormat="false" ht="15" hidden="false" customHeight="false" outlineLevel="0" collapsed="false">
      <c r="A23" s="4" t="s">
        <v>54</v>
      </c>
      <c r="B23" s="4" t="s">
        <v>55</v>
      </c>
      <c r="C23" s="5" t="s">
        <v>46</v>
      </c>
      <c r="D23" s="4" t="s">
        <v>17</v>
      </c>
      <c r="E23" s="6" t="n">
        <f aca="false">'Supuestos y fuentes'!$C$39</f>
        <v>30</v>
      </c>
      <c r="F23" s="7" t="n">
        <f aca="false">E23*(1+'Supuestos y fuentes'!$C$11)</f>
        <v>31.8</v>
      </c>
      <c r="G23" s="4" t="s">
        <v>18</v>
      </c>
      <c r="H23" s="8" t="n">
        <f aca="false">'Supuestos y fuentes'!$C$6+'Supuestos y fuentes'!$C$9</f>
        <v>8</v>
      </c>
      <c r="I23" s="7" t="n">
        <f aca="false">F23*H23</f>
        <v>254.4</v>
      </c>
      <c r="J23" s="8" t="n">
        <f aca="false">'Supuestos y fuentes'!$C$7+'Supuestos y fuentes'!$C$9</f>
        <v>18</v>
      </c>
      <c r="K23" s="7" t="n">
        <f aca="false">F23*J23</f>
        <v>572.4</v>
      </c>
      <c r="L23" s="9"/>
    </row>
    <row r="24" customFormat="false" ht="22.35" hidden="false" customHeight="false" outlineLevel="0" collapsed="false">
      <c r="A24" s="4" t="s">
        <v>54</v>
      </c>
      <c r="B24" s="4" t="s">
        <v>55</v>
      </c>
      <c r="C24" s="5" t="s">
        <v>56</v>
      </c>
      <c r="D24" s="4" t="s">
        <v>17</v>
      </c>
      <c r="E24" s="6" t="n">
        <f aca="false">'Supuestos y fuentes'!$C$21*'Supuestos y fuentes'!$C$22</f>
        <v>2375</v>
      </c>
      <c r="F24" s="7" t="n">
        <f aca="false">E24*(1+'Supuestos y fuentes'!$C$11)</f>
        <v>2517.5</v>
      </c>
      <c r="G24" s="4" t="s">
        <v>57</v>
      </c>
      <c r="H24" s="8" t="n">
        <f aca="false">'Supuestos y fuentes'!$C$77</f>
        <v>5</v>
      </c>
      <c r="I24" s="7" t="n">
        <f aca="false">F24*H24</f>
        <v>12587.5</v>
      </c>
      <c r="J24" s="8" t="n">
        <f aca="false">'Supuestos y fuentes'!$C$78</f>
        <v>15</v>
      </c>
      <c r="K24" s="7" t="n">
        <f aca="false">F24*J24</f>
        <v>37762.5</v>
      </c>
      <c r="L24" s="9" t="s">
        <v>58</v>
      </c>
    </row>
    <row r="25" customFormat="false" ht="15" hidden="false" customHeight="false" outlineLevel="0" collapsed="false">
      <c r="A25" s="4" t="s">
        <v>54</v>
      </c>
      <c r="B25" s="4" t="s">
        <v>55</v>
      </c>
      <c r="C25" s="5" t="s">
        <v>59</v>
      </c>
      <c r="D25" s="4" t="s">
        <v>17</v>
      </c>
      <c r="E25" s="6" t="n">
        <f aca="false">'Supuestos y fuentes'!$C$23*'Supuestos y fuentes'!$C$22</f>
        <v>225</v>
      </c>
      <c r="F25" s="7" t="n">
        <f aca="false">E25*(1+'Supuestos y fuentes'!$C$11)</f>
        <v>238.5</v>
      </c>
      <c r="G25" s="4" t="s">
        <v>57</v>
      </c>
      <c r="H25" s="8" t="n">
        <f aca="false">'Supuestos y fuentes'!$C$77</f>
        <v>5</v>
      </c>
      <c r="I25" s="7" t="n">
        <f aca="false">F25*H25</f>
        <v>1192.5</v>
      </c>
      <c r="J25" s="8" t="n">
        <f aca="false">'Supuestos y fuentes'!$C$78</f>
        <v>15</v>
      </c>
      <c r="K25" s="7" t="n">
        <f aca="false">F25*J25</f>
        <v>3577.5</v>
      </c>
      <c r="L25" s="9"/>
    </row>
    <row r="26" customFormat="false" ht="15" hidden="false" customHeight="false" outlineLevel="0" collapsed="false">
      <c r="A26" s="4" t="s">
        <v>54</v>
      </c>
      <c r="B26" s="4" t="s">
        <v>55</v>
      </c>
      <c r="C26" s="5" t="s">
        <v>60</v>
      </c>
      <c r="D26" s="4" t="s">
        <v>17</v>
      </c>
      <c r="E26" s="6" t="n">
        <f aca="false">'Supuestos y fuentes'!$C$79</f>
        <v>349.596022374145</v>
      </c>
      <c r="F26" s="7" t="n">
        <f aca="false">E26*(1+'Supuestos y fuentes'!$C$11)</f>
        <v>370.571783716594</v>
      </c>
      <c r="G26" s="4" t="s">
        <v>57</v>
      </c>
      <c r="H26" s="8" t="n">
        <f aca="false">'Supuestos y fuentes'!$C$77</f>
        <v>5</v>
      </c>
      <c r="I26" s="7" t="n">
        <f aca="false">F26*H26</f>
        <v>1852.85891858297</v>
      </c>
      <c r="J26" s="8" t="n">
        <f aca="false">'Supuestos y fuentes'!$C$78</f>
        <v>15</v>
      </c>
      <c r="K26" s="7" t="n">
        <f aca="false">F26*J26</f>
        <v>5558.57675574891</v>
      </c>
      <c r="L26" s="9" t="s">
        <v>61</v>
      </c>
    </row>
    <row r="27" customFormat="false" ht="15" hidden="false" customHeight="false" outlineLevel="0" collapsed="false">
      <c r="A27" s="4" t="s">
        <v>54</v>
      </c>
      <c r="B27" s="4" t="s">
        <v>55</v>
      </c>
      <c r="C27" s="5" t="s">
        <v>62</v>
      </c>
      <c r="D27" s="4" t="s">
        <v>21</v>
      </c>
      <c r="E27" s="6" t="n">
        <f aca="false">'Supuestos y fuentes'!$C$55</f>
        <v>1500</v>
      </c>
      <c r="F27" s="7" t="n">
        <f aca="false">E27*(1+'Supuestos y fuentes'!$C$11)</f>
        <v>1590</v>
      </c>
      <c r="G27" s="4" t="s">
        <v>27</v>
      </c>
      <c r="H27" s="8" t="n">
        <f aca="false">1</f>
        <v>1</v>
      </c>
      <c r="I27" s="7" t="n">
        <f aca="false">F27*H27</f>
        <v>1590</v>
      </c>
      <c r="J27" s="8" t="n">
        <f aca="false">1</f>
        <v>1</v>
      </c>
      <c r="K27" s="7" t="n">
        <f aca="false">F27*J27</f>
        <v>1590</v>
      </c>
      <c r="L27" s="9" t="s">
        <v>63</v>
      </c>
    </row>
    <row r="28" customFormat="false" ht="15" hidden="false" customHeight="false" outlineLevel="0" collapsed="false">
      <c r="A28" s="4" t="s">
        <v>54</v>
      </c>
      <c r="B28" s="4" t="s">
        <v>55</v>
      </c>
      <c r="C28" s="5" t="s">
        <v>64</v>
      </c>
      <c r="D28" s="4" t="s">
        <v>17</v>
      </c>
      <c r="E28" s="6" t="n">
        <f aca="false">'Supuestos y fuentes'!$C$42</f>
        <v>35</v>
      </c>
      <c r="F28" s="7" t="n">
        <f aca="false">E28*(1+'Supuestos y fuentes'!$C$11)</f>
        <v>37.1</v>
      </c>
      <c r="G28" s="4" t="s">
        <v>18</v>
      </c>
      <c r="H28" s="8" t="n">
        <f aca="false">'Supuestos y fuentes'!$C$6+'Supuestos y fuentes'!$C$9</f>
        <v>8</v>
      </c>
      <c r="I28" s="7" t="n">
        <f aca="false">F28*H28</f>
        <v>296.8</v>
      </c>
      <c r="J28" s="8" t="n">
        <f aca="false">'Supuestos y fuentes'!$C$7+'Supuestos y fuentes'!$C$9</f>
        <v>18</v>
      </c>
      <c r="K28" s="7" t="n">
        <f aca="false">F28*J28</f>
        <v>667.8</v>
      </c>
      <c r="L28" s="9"/>
    </row>
    <row r="29" customFormat="false" ht="15" hidden="false" customHeight="false" outlineLevel="0" collapsed="false">
      <c r="A29" s="4" t="s">
        <v>54</v>
      </c>
      <c r="B29" s="4" t="s">
        <v>55</v>
      </c>
      <c r="C29" s="5" t="s">
        <v>65</v>
      </c>
      <c r="D29" s="4" t="s">
        <v>17</v>
      </c>
      <c r="E29" s="6" t="n">
        <f aca="false">'Supuestos y fuentes'!$C$56</f>
        <v>30</v>
      </c>
      <c r="F29" s="7" t="n">
        <f aca="false">E29*(1+'Supuestos y fuentes'!$C$11)</f>
        <v>31.8</v>
      </c>
      <c r="G29" s="4" t="s">
        <v>18</v>
      </c>
      <c r="H29" s="8" t="n">
        <f aca="false">'Supuestos y fuentes'!$C$6+'Supuestos y fuentes'!$C$9</f>
        <v>8</v>
      </c>
      <c r="I29" s="7" t="n">
        <f aca="false">F29*H29</f>
        <v>254.4</v>
      </c>
      <c r="J29" s="8" t="n">
        <f aca="false">'Supuestos y fuentes'!$C$7+'Supuestos y fuentes'!$C$9</f>
        <v>18</v>
      </c>
      <c r="K29" s="7" t="n">
        <f aca="false">F29*J29</f>
        <v>572.4</v>
      </c>
      <c r="L29" s="9" t="s">
        <v>66</v>
      </c>
    </row>
    <row r="30" customFormat="false" ht="15" hidden="false" customHeight="false" outlineLevel="0" collapsed="false">
      <c r="A30" s="4" t="s">
        <v>54</v>
      </c>
      <c r="B30" s="4" t="s">
        <v>55</v>
      </c>
      <c r="C30" s="5" t="s">
        <v>67</v>
      </c>
      <c r="D30" s="4" t="s">
        <v>21</v>
      </c>
      <c r="E30" s="6" t="n">
        <f aca="false">'Supuestos y fuentes'!$C$57</f>
        <v>1200</v>
      </c>
      <c r="F30" s="7" t="n">
        <f aca="false">E30*(1+'Supuestos y fuentes'!$C$11)</f>
        <v>1272</v>
      </c>
      <c r="G30" s="4" t="s">
        <v>27</v>
      </c>
      <c r="H30" s="8" t="n">
        <f aca="false">1</f>
        <v>1</v>
      </c>
      <c r="I30" s="7" t="n">
        <f aca="false">F30*H30</f>
        <v>1272</v>
      </c>
      <c r="J30" s="8" t="n">
        <f aca="false">1</f>
        <v>1</v>
      </c>
      <c r="K30" s="7" t="n">
        <f aca="false">F30*J30</f>
        <v>1272</v>
      </c>
      <c r="L30" s="9"/>
    </row>
    <row r="31" customFormat="false" ht="15" hidden="false" customHeight="false" outlineLevel="0" collapsed="false">
      <c r="A31" s="4" t="s">
        <v>54</v>
      </c>
      <c r="B31" s="4" t="s">
        <v>55</v>
      </c>
      <c r="C31" s="5" t="s">
        <v>68</v>
      </c>
      <c r="D31" s="4" t="s">
        <v>17</v>
      </c>
      <c r="E31" s="6" t="n">
        <f aca="false">'Supuestos y fuentes'!$C$33</f>
        <v>160</v>
      </c>
      <c r="F31" s="7" t="n">
        <f aca="false">E31*(1+'Supuestos y fuentes'!$C$11)</f>
        <v>169.6</v>
      </c>
      <c r="G31" s="4" t="s">
        <v>39</v>
      </c>
      <c r="H31" s="8" t="n">
        <f aca="false">'Supuestos y fuentes'!$C$6+'Supuestos y fuentes'!$C$10</f>
        <v>7</v>
      </c>
      <c r="I31" s="7" t="n">
        <f aca="false">F31*H31</f>
        <v>1187.2</v>
      </c>
      <c r="J31" s="8" t="n">
        <f aca="false">'Supuestos y fuentes'!$C$7+'Supuestos y fuentes'!$C$10</f>
        <v>17</v>
      </c>
      <c r="K31" s="7" t="n">
        <f aca="false">F31*J31</f>
        <v>2883.2</v>
      </c>
      <c r="L31" s="9" t="s">
        <v>69</v>
      </c>
    </row>
    <row r="32" customFormat="false" ht="15" hidden="false" customHeight="false" outlineLevel="0" collapsed="false">
      <c r="A32" s="4" t="s">
        <v>54</v>
      </c>
      <c r="B32" s="4" t="s">
        <v>55</v>
      </c>
      <c r="C32" s="5" t="s">
        <v>70</v>
      </c>
      <c r="D32" s="4" t="s">
        <v>17</v>
      </c>
      <c r="E32" s="6" t="n">
        <f aca="false">'Supuestos y fuentes'!$C$43</f>
        <v>70</v>
      </c>
      <c r="F32" s="7" t="n">
        <f aca="false">E32*(1+'Supuestos y fuentes'!$C$11)</f>
        <v>74.2</v>
      </c>
      <c r="G32" s="4" t="s">
        <v>18</v>
      </c>
      <c r="H32" s="8" t="n">
        <f aca="false">'Supuestos y fuentes'!$C$6+'Supuestos y fuentes'!$C$9</f>
        <v>8</v>
      </c>
      <c r="I32" s="7" t="n">
        <f aca="false">F32*H32</f>
        <v>593.6</v>
      </c>
      <c r="J32" s="8" t="n">
        <f aca="false">'Supuestos y fuentes'!$C$7+'Supuestos y fuentes'!$C$9</f>
        <v>18</v>
      </c>
      <c r="K32" s="7" t="n">
        <f aca="false">F32*J32</f>
        <v>1335.6</v>
      </c>
      <c r="L32" s="9"/>
    </row>
    <row r="33" customFormat="false" ht="15" hidden="false" customHeight="false" outlineLevel="0" collapsed="false">
      <c r="A33" s="4" t="s">
        <v>71</v>
      </c>
      <c r="B33" s="4" t="s">
        <v>72</v>
      </c>
      <c r="C33" s="5" t="s">
        <v>46</v>
      </c>
      <c r="D33" s="4" t="s">
        <v>17</v>
      </c>
      <c r="E33" s="6" t="n">
        <f aca="false">'Supuestos y fuentes'!$C$39</f>
        <v>30</v>
      </c>
      <c r="F33" s="7" t="n">
        <f aca="false">E33*(1+'Supuestos y fuentes'!$C$11)</f>
        <v>31.8</v>
      </c>
      <c r="G33" s="4" t="s">
        <v>18</v>
      </c>
      <c r="H33" s="8" t="n">
        <f aca="false">'Supuestos y fuentes'!$C$6+'Supuestos y fuentes'!$C$9</f>
        <v>8</v>
      </c>
      <c r="I33" s="7" t="n">
        <f aca="false">F33*H33</f>
        <v>254.4</v>
      </c>
      <c r="J33" s="8" t="n">
        <f aca="false">'Supuestos y fuentes'!$C$7+'Supuestos y fuentes'!$C$9</f>
        <v>18</v>
      </c>
      <c r="K33" s="7" t="n">
        <f aca="false">F33*J33</f>
        <v>572.4</v>
      </c>
      <c r="L33" s="9"/>
    </row>
    <row r="34" customFormat="false" ht="15" hidden="false" customHeight="false" outlineLevel="0" collapsed="false">
      <c r="A34" s="4" t="s">
        <v>71</v>
      </c>
      <c r="B34" s="4" t="s">
        <v>72</v>
      </c>
      <c r="C34" s="5" t="s">
        <v>73</v>
      </c>
      <c r="D34" s="4" t="s">
        <v>17</v>
      </c>
      <c r="E34" s="6" t="n">
        <f aca="false">'Supuestos y fuentes'!$C$44</f>
        <v>28</v>
      </c>
      <c r="F34" s="7" t="n">
        <f aca="false">E34*(1+'Supuestos y fuentes'!$C$11)</f>
        <v>29.68</v>
      </c>
      <c r="G34" s="4" t="s">
        <v>18</v>
      </c>
      <c r="H34" s="8" t="n">
        <f aca="false">'Supuestos y fuentes'!$C$6+'Supuestos y fuentes'!$C$9</f>
        <v>8</v>
      </c>
      <c r="I34" s="7" t="n">
        <f aca="false">F34*H34</f>
        <v>237.44</v>
      </c>
      <c r="J34" s="8" t="n">
        <f aca="false">'Supuestos y fuentes'!$C$7+'Supuestos y fuentes'!$C$9</f>
        <v>18</v>
      </c>
      <c r="K34" s="7" t="n">
        <f aca="false">F34*J34</f>
        <v>534.24</v>
      </c>
      <c r="L34" s="9" t="s">
        <v>74</v>
      </c>
    </row>
    <row r="35" customFormat="false" ht="15" hidden="false" customHeight="false" outlineLevel="0" collapsed="false">
      <c r="A35" s="4" t="s">
        <v>71</v>
      </c>
      <c r="B35" s="4" t="s">
        <v>72</v>
      </c>
      <c r="C35" s="5" t="s">
        <v>75</v>
      </c>
      <c r="D35" s="4" t="s">
        <v>17</v>
      </c>
      <c r="E35" s="6" t="n">
        <f aca="false">'Supuestos y fuentes'!$C$45</f>
        <v>12</v>
      </c>
      <c r="F35" s="7" t="n">
        <f aca="false">E35*(1+'Supuestos y fuentes'!$C$11)</f>
        <v>12.72</v>
      </c>
      <c r="G35" s="4" t="s">
        <v>18</v>
      </c>
      <c r="H35" s="8" t="n">
        <f aca="false">'Supuestos y fuentes'!$C$6+'Supuestos y fuentes'!$C$9</f>
        <v>8</v>
      </c>
      <c r="I35" s="7" t="n">
        <f aca="false">F35*H35</f>
        <v>101.76</v>
      </c>
      <c r="J35" s="8" t="n">
        <f aca="false">'Supuestos y fuentes'!$C$7+'Supuestos y fuentes'!$C$9</f>
        <v>18</v>
      </c>
      <c r="K35" s="7" t="n">
        <f aca="false">F35*J35</f>
        <v>228.96</v>
      </c>
      <c r="L35" s="9" t="s">
        <v>76</v>
      </c>
    </row>
    <row r="36" customFormat="false" ht="15" hidden="false" customHeight="false" outlineLevel="0" collapsed="false">
      <c r="A36" s="4" t="s">
        <v>71</v>
      </c>
      <c r="B36" s="4" t="s">
        <v>72</v>
      </c>
      <c r="C36" s="5" t="s">
        <v>77</v>
      </c>
      <c r="D36" s="4" t="s">
        <v>17</v>
      </c>
      <c r="E36" s="6" t="n">
        <f aca="false">'Supuestos y fuentes'!$C$34</f>
        <v>140</v>
      </c>
      <c r="F36" s="7" t="n">
        <f aca="false">E36*(1+'Supuestos y fuentes'!$C$11)</f>
        <v>148.4</v>
      </c>
      <c r="G36" s="4" t="s">
        <v>39</v>
      </c>
      <c r="H36" s="8" t="n">
        <f aca="false">'Supuestos y fuentes'!$C$6+'Supuestos y fuentes'!$C$10</f>
        <v>7</v>
      </c>
      <c r="I36" s="7" t="n">
        <f aca="false">F36*H36</f>
        <v>1038.8</v>
      </c>
      <c r="J36" s="8" t="n">
        <f aca="false">'Supuestos y fuentes'!$C$7+'Supuestos y fuentes'!$C$10</f>
        <v>17</v>
      </c>
      <c r="K36" s="7" t="n">
        <f aca="false">F36*J36</f>
        <v>2522.8</v>
      </c>
      <c r="L36" s="9" t="s">
        <v>78</v>
      </c>
    </row>
    <row r="37" customFormat="false" ht="15" hidden="false" customHeight="false" outlineLevel="0" collapsed="false">
      <c r="A37" s="4" t="s">
        <v>71</v>
      </c>
      <c r="B37" s="4" t="s">
        <v>72</v>
      </c>
      <c r="C37" s="5" t="s">
        <v>79</v>
      </c>
      <c r="D37" s="4" t="s">
        <v>21</v>
      </c>
      <c r="E37" s="6" t="n">
        <f aca="false">'Supuestos y fuentes'!$C$58</f>
        <v>2500</v>
      </c>
      <c r="F37" s="7" t="n">
        <f aca="false">E37*(1+'Supuestos y fuentes'!$C$11)</f>
        <v>2650</v>
      </c>
      <c r="G37" s="4" t="s">
        <v>27</v>
      </c>
      <c r="H37" s="8" t="n">
        <f aca="false">1</f>
        <v>1</v>
      </c>
      <c r="I37" s="7" t="n">
        <f aca="false">F37*H37</f>
        <v>2650</v>
      </c>
      <c r="J37" s="8" t="n">
        <f aca="false">1</f>
        <v>1</v>
      </c>
      <c r="K37" s="7" t="n">
        <f aca="false">F37*J37</f>
        <v>2650</v>
      </c>
      <c r="L37" s="9"/>
    </row>
    <row r="38" customFormat="false" ht="15" hidden="false" customHeight="false" outlineLevel="0" collapsed="false">
      <c r="A38" s="4" t="s">
        <v>71</v>
      </c>
      <c r="B38" s="4" t="s">
        <v>72</v>
      </c>
      <c r="C38" s="5" t="s">
        <v>80</v>
      </c>
      <c r="D38" s="4" t="s">
        <v>17</v>
      </c>
      <c r="E38" s="6" t="n">
        <f aca="false">'Supuestos y fuentes'!$C$46</f>
        <v>60</v>
      </c>
      <c r="F38" s="7" t="n">
        <f aca="false">E38*(1+'Supuestos y fuentes'!$C$11)</f>
        <v>63.6</v>
      </c>
      <c r="G38" s="4" t="s">
        <v>18</v>
      </c>
      <c r="H38" s="8" t="n">
        <f aca="false">'Supuestos y fuentes'!$C$6+'Supuestos y fuentes'!$C$9</f>
        <v>8</v>
      </c>
      <c r="I38" s="7" t="n">
        <f aca="false">F38*H38</f>
        <v>508.8</v>
      </c>
      <c r="J38" s="8" t="n">
        <f aca="false">'Supuestos y fuentes'!$C$7+'Supuestos y fuentes'!$C$9</f>
        <v>18</v>
      </c>
      <c r="K38" s="7" t="n">
        <f aca="false">F38*J38</f>
        <v>1144.8</v>
      </c>
      <c r="L38" s="9"/>
    </row>
    <row r="39" customFormat="false" ht="15" hidden="false" customHeight="false" outlineLevel="0" collapsed="false">
      <c r="A39" s="4" t="s">
        <v>81</v>
      </c>
      <c r="B39" s="4" t="s">
        <v>82</v>
      </c>
      <c r="C39" s="5" t="s">
        <v>46</v>
      </c>
      <c r="D39" s="4" t="s">
        <v>17</v>
      </c>
      <c r="E39" s="6" t="n">
        <f aca="false">'Supuestos y fuentes'!$C$39</f>
        <v>30</v>
      </c>
      <c r="F39" s="7" t="n">
        <f aca="false">E39*(1+'Supuestos y fuentes'!$C$11)</f>
        <v>31.8</v>
      </c>
      <c r="G39" s="4" t="s">
        <v>18</v>
      </c>
      <c r="H39" s="8" t="n">
        <f aca="false">'Supuestos y fuentes'!$C$6+'Supuestos y fuentes'!$C$9</f>
        <v>8</v>
      </c>
      <c r="I39" s="7" t="n">
        <f aca="false">F39*H39</f>
        <v>254.4</v>
      </c>
      <c r="J39" s="8" t="n">
        <f aca="false">'Supuestos y fuentes'!$C$7+'Supuestos y fuentes'!$C$9</f>
        <v>18</v>
      </c>
      <c r="K39" s="7" t="n">
        <f aca="false">F39*J39</f>
        <v>572.4</v>
      </c>
      <c r="L39" s="9"/>
    </row>
    <row r="40" customFormat="false" ht="15" hidden="false" customHeight="false" outlineLevel="0" collapsed="false">
      <c r="A40" s="4" t="s">
        <v>81</v>
      </c>
      <c r="B40" s="4" t="s">
        <v>82</v>
      </c>
      <c r="C40" s="5" t="s">
        <v>83</v>
      </c>
      <c r="D40" s="4" t="s">
        <v>17</v>
      </c>
      <c r="E40" s="6" t="n">
        <f aca="false">'Supuestos y fuentes'!$C$59</f>
        <v>35</v>
      </c>
      <c r="F40" s="7" t="n">
        <f aca="false">E40*(1+'Supuestos y fuentes'!$C$11)</f>
        <v>37.1</v>
      </c>
      <c r="G40" s="4" t="s">
        <v>36</v>
      </c>
      <c r="H40" s="8" t="n">
        <f aca="false">'Supuestos y fuentes'!$C$77+1</f>
        <v>6</v>
      </c>
      <c r="I40" s="7" t="n">
        <f aca="false">F40*H40</f>
        <v>222.6</v>
      </c>
      <c r="J40" s="8" t="n">
        <f aca="false">'Supuestos y fuentes'!$C$78+1</f>
        <v>16</v>
      </c>
      <c r="K40" s="7" t="n">
        <f aca="false">F40*J40</f>
        <v>593.6</v>
      </c>
      <c r="L40" s="9" t="s">
        <v>84</v>
      </c>
    </row>
    <row r="41" customFormat="false" ht="15" hidden="false" customHeight="false" outlineLevel="0" collapsed="false">
      <c r="A41" s="4" t="s">
        <v>81</v>
      </c>
      <c r="B41" s="4" t="s">
        <v>82</v>
      </c>
      <c r="C41" s="5" t="s">
        <v>85</v>
      </c>
      <c r="D41" s="4" t="s">
        <v>17</v>
      </c>
      <c r="E41" s="6" t="n">
        <f aca="false">'Supuestos y fuentes'!$C$60</f>
        <v>100</v>
      </c>
      <c r="F41" s="7" t="n">
        <f aca="false">E41*(1+'Supuestos y fuentes'!$C$11)</f>
        <v>106</v>
      </c>
      <c r="G41" s="4" t="s">
        <v>18</v>
      </c>
      <c r="H41" s="8" t="n">
        <f aca="false">'Supuestos y fuentes'!$C$6+'Supuestos y fuentes'!$C$9</f>
        <v>8</v>
      </c>
      <c r="I41" s="7" t="n">
        <f aca="false">F41*H41</f>
        <v>848</v>
      </c>
      <c r="J41" s="8" t="n">
        <f aca="false">'Supuestos y fuentes'!$C$7+'Supuestos y fuentes'!$C$9</f>
        <v>18</v>
      </c>
      <c r="K41" s="7" t="n">
        <f aca="false">F41*J41</f>
        <v>1908</v>
      </c>
      <c r="L41" s="9" t="s">
        <v>86</v>
      </c>
    </row>
    <row r="42" customFormat="false" ht="15" hidden="false" customHeight="false" outlineLevel="0" collapsed="false">
      <c r="A42" s="4" t="s">
        <v>81</v>
      </c>
      <c r="B42" s="4" t="s">
        <v>82</v>
      </c>
      <c r="C42" s="5" t="s">
        <v>87</v>
      </c>
      <c r="D42" s="4" t="s">
        <v>17</v>
      </c>
      <c r="E42" s="6" t="n">
        <f aca="false">'Supuestos y fuentes'!$C$61</f>
        <v>359</v>
      </c>
      <c r="F42" s="7" t="n">
        <f aca="false">E42*(1+'Supuestos y fuentes'!$C$11)</f>
        <v>380.54</v>
      </c>
      <c r="G42" s="4" t="s">
        <v>18</v>
      </c>
      <c r="H42" s="8" t="n">
        <f aca="false">'Supuestos y fuentes'!$C$6+1</f>
        <v>6</v>
      </c>
      <c r="I42" s="7" t="n">
        <f aca="false">F42*H42</f>
        <v>2283.24</v>
      </c>
      <c r="J42" s="8" t="n">
        <f aca="false">'Supuestos y fuentes'!$C$7+1</f>
        <v>16</v>
      </c>
      <c r="K42" s="7" t="n">
        <f aca="false">F42*J42</f>
        <v>6088.64</v>
      </c>
      <c r="L42" s="9" t="s">
        <v>88</v>
      </c>
    </row>
    <row r="43" customFormat="false" ht="15" hidden="false" customHeight="false" outlineLevel="0" collapsed="false">
      <c r="A43" s="4" t="s">
        <v>81</v>
      </c>
      <c r="B43" s="4" t="s">
        <v>82</v>
      </c>
      <c r="C43" s="5" t="s">
        <v>89</v>
      </c>
      <c r="D43" s="4" t="s">
        <v>17</v>
      </c>
      <c r="E43" s="6" t="n">
        <f aca="false">'Supuestos y fuentes'!$C$47</f>
        <v>45</v>
      </c>
      <c r="F43" s="7" t="n">
        <f aca="false">E43*(1+'Supuestos y fuentes'!$C$11)</f>
        <v>47.7</v>
      </c>
      <c r="G43" s="4" t="s">
        <v>18</v>
      </c>
      <c r="H43" s="8" t="n">
        <f aca="false">'Supuestos y fuentes'!$C$6+'Supuestos y fuentes'!$C$9</f>
        <v>8</v>
      </c>
      <c r="I43" s="7" t="n">
        <f aca="false">F43*H43</f>
        <v>381.6</v>
      </c>
      <c r="J43" s="8" t="n">
        <f aca="false">'Supuestos y fuentes'!$C$7+'Supuestos y fuentes'!$C$9</f>
        <v>18</v>
      </c>
      <c r="K43" s="7" t="n">
        <f aca="false">F43*J43</f>
        <v>858.6</v>
      </c>
      <c r="L43" s="9"/>
    </row>
    <row r="44" customFormat="false" ht="15" hidden="false" customHeight="false" outlineLevel="0" collapsed="false">
      <c r="A44" s="4" t="s">
        <v>81</v>
      </c>
      <c r="B44" s="4" t="s">
        <v>82</v>
      </c>
      <c r="C44" s="5" t="s">
        <v>90</v>
      </c>
      <c r="D44" s="4" t="s">
        <v>17</v>
      </c>
      <c r="E44" s="6" t="n">
        <f aca="false">'Supuestos y fuentes'!$C$48</f>
        <v>125</v>
      </c>
      <c r="F44" s="7" t="n">
        <f aca="false">E44*(1+'Supuestos y fuentes'!$C$11)</f>
        <v>132.5</v>
      </c>
      <c r="G44" s="4" t="s">
        <v>18</v>
      </c>
      <c r="H44" s="8" t="n">
        <f aca="false">'Supuestos y fuentes'!$C$6+'Supuestos y fuentes'!$C$9</f>
        <v>8</v>
      </c>
      <c r="I44" s="7" t="n">
        <f aca="false">F44*H44</f>
        <v>1060</v>
      </c>
      <c r="J44" s="8" t="n">
        <f aca="false">'Supuestos y fuentes'!$C$7+'Supuestos y fuentes'!$C$9</f>
        <v>18</v>
      </c>
      <c r="K44" s="7" t="n">
        <f aca="false">F44*J44</f>
        <v>2385</v>
      </c>
      <c r="L44" s="9"/>
    </row>
    <row r="45" customFormat="false" ht="15" hidden="false" customHeight="false" outlineLevel="0" collapsed="false">
      <c r="A45" s="4" t="s">
        <v>81</v>
      </c>
      <c r="B45" s="4" t="s">
        <v>82</v>
      </c>
      <c r="C45" s="5" t="s">
        <v>91</v>
      </c>
      <c r="D45" s="4" t="s">
        <v>21</v>
      </c>
      <c r="E45" s="6" t="n">
        <f aca="false">'Supuestos y fuentes'!$C$62</f>
        <v>3000</v>
      </c>
      <c r="F45" s="7" t="n">
        <f aca="false">E45*(1+'Supuestos y fuentes'!$C$11)</f>
        <v>3180</v>
      </c>
      <c r="G45" s="4" t="s">
        <v>27</v>
      </c>
      <c r="H45" s="8" t="n">
        <f aca="false">1</f>
        <v>1</v>
      </c>
      <c r="I45" s="7" t="n">
        <f aca="false">F45*H45</f>
        <v>3180</v>
      </c>
      <c r="J45" s="8" t="n">
        <f aca="false">1</f>
        <v>1</v>
      </c>
      <c r="K45" s="7" t="n">
        <f aca="false">F45*J45</f>
        <v>3180</v>
      </c>
      <c r="L45" s="9" t="s">
        <v>92</v>
      </c>
    </row>
    <row r="46" customFormat="false" ht="15" hidden="false" customHeight="false" outlineLevel="0" collapsed="false">
      <c r="A46" s="4" t="s">
        <v>81</v>
      </c>
      <c r="B46" s="4" t="s">
        <v>82</v>
      </c>
      <c r="C46" s="5" t="s">
        <v>93</v>
      </c>
      <c r="D46" s="4" t="s">
        <v>17</v>
      </c>
      <c r="E46" s="6" t="n">
        <f aca="false">'Supuestos y fuentes'!$C$35</f>
        <v>480</v>
      </c>
      <c r="F46" s="7" t="n">
        <f aca="false">E46*(1+'Supuestos y fuentes'!$C$11)</f>
        <v>508.8</v>
      </c>
      <c r="G46" s="4" t="s">
        <v>39</v>
      </c>
      <c r="H46" s="8" t="n">
        <f aca="false">'Supuestos y fuentes'!$C$6+'Supuestos y fuentes'!$C$10</f>
        <v>7</v>
      </c>
      <c r="I46" s="7" t="n">
        <f aca="false">F46*H46</f>
        <v>3561.6</v>
      </c>
      <c r="J46" s="8" t="n">
        <f aca="false">'Supuestos y fuentes'!$C$7+'Supuestos y fuentes'!$C$10</f>
        <v>17</v>
      </c>
      <c r="K46" s="7" t="n">
        <f aca="false">F46*J46</f>
        <v>8649.6</v>
      </c>
      <c r="L46" s="9" t="s">
        <v>94</v>
      </c>
    </row>
    <row r="47" customFormat="false" ht="15" hidden="false" customHeight="false" outlineLevel="0" collapsed="false">
      <c r="A47" s="4" t="s">
        <v>95</v>
      </c>
      <c r="B47" s="4" t="s">
        <v>96</v>
      </c>
      <c r="C47" s="5" t="s">
        <v>46</v>
      </c>
      <c r="D47" s="4" t="s">
        <v>17</v>
      </c>
      <c r="E47" s="6" t="n">
        <f aca="false">'Supuestos y fuentes'!$C$39</f>
        <v>30</v>
      </c>
      <c r="F47" s="7" t="n">
        <f aca="false">E47*(1+'Supuestos y fuentes'!$C$11)</f>
        <v>31.8</v>
      </c>
      <c r="G47" s="4" t="s">
        <v>18</v>
      </c>
      <c r="H47" s="8" t="n">
        <f aca="false">'Supuestos y fuentes'!$C$6+'Supuestos y fuentes'!$C$9</f>
        <v>8</v>
      </c>
      <c r="I47" s="7" t="n">
        <f aca="false">F47*H47</f>
        <v>254.4</v>
      </c>
      <c r="J47" s="8" t="n">
        <f aca="false">'Supuestos y fuentes'!$C$7+'Supuestos y fuentes'!$C$9</f>
        <v>18</v>
      </c>
      <c r="K47" s="7" t="n">
        <f aca="false">F47*J47</f>
        <v>572.4</v>
      </c>
      <c r="L47" s="9"/>
    </row>
    <row r="48" customFormat="false" ht="15" hidden="false" customHeight="false" outlineLevel="0" collapsed="false">
      <c r="A48" s="4" t="s">
        <v>95</v>
      </c>
      <c r="B48" s="4" t="s">
        <v>96</v>
      </c>
      <c r="C48" s="5" t="s">
        <v>97</v>
      </c>
      <c r="D48" s="4" t="s">
        <v>17</v>
      </c>
      <c r="E48" s="6" t="n">
        <f aca="false">'Supuestos y fuentes'!$C$49</f>
        <v>35</v>
      </c>
      <c r="F48" s="7" t="n">
        <f aca="false">E48*(1+'Supuestos y fuentes'!$C$11)</f>
        <v>37.1</v>
      </c>
      <c r="G48" s="4" t="s">
        <v>18</v>
      </c>
      <c r="H48" s="8" t="n">
        <f aca="false">'Supuestos y fuentes'!$C$6+'Supuestos y fuentes'!$C$9</f>
        <v>8</v>
      </c>
      <c r="I48" s="7" t="n">
        <f aca="false">F48*H48</f>
        <v>296.8</v>
      </c>
      <c r="J48" s="8" t="n">
        <f aca="false">'Supuestos y fuentes'!$C$7+'Supuestos y fuentes'!$C$9</f>
        <v>18</v>
      </c>
      <c r="K48" s="7" t="n">
        <f aca="false">F48*J48</f>
        <v>667.8</v>
      </c>
      <c r="L48" s="9"/>
    </row>
    <row r="49" customFormat="false" ht="15" hidden="false" customHeight="false" outlineLevel="0" collapsed="false">
      <c r="A49" s="4" t="s">
        <v>95</v>
      </c>
      <c r="B49" s="4" t="s">
        <v>96</v>
      </c>
      <c r="C49" s="5" t="s">
        <v>98</v>
      </c>
      <c r="D49" s="4" t="s">
        <v>17</v>
      </c>
      <c r="E49" s="6" t="n">
        <f aca="false">'Supuestos y fuentes'!$C$63</f>
        <v>15</v>
      </c>
      <c r="F49" s="7" t="n">
        <f aca="false">E49*(1+'Supuestos y fuentes'!$C$11)</f>
        <v>15.9</v>
      </c>
      <c r="G49" s="4" t="s">
        <v>36</v>
      </c>
      <c r="H49" s="8" t="n">
        <f aca="false">'Supuestos y fuentes'!$C$77+1</f>
        <v>6</v>
      </c>
      <c r="I49" s="7" t="n">
        <f aca="false">F49*H49</f>
        <v>95.4</v>
      </c>
      <c r="J49" s="8" t="n">
        <f aca="false">'Supuestos y fuentes'!$C$78+1</f>
        <v>16</v>
      </c>
      <c r="K49" s="7" t="n">
        <f aca="false">F49*J49</f>
        <v>254.4</v>
      </c>
      <c r="L49" s="9"/>
    </row>
    <row r="50" customFormat="false" ht="15" hidden="false" customHeight="false" outlineLevel="0" collapsed="false">
      <c r="A50" s="4" t="s">
        <v>95</v>
      </c>
      <c r="B50" s="4" t="s">
        <v>96</v>
      </c>
      <c r="C50" s="5" t="s">
        <v>99</v>
      </c>
      <c r="D50" s="4" t="s">
        <v>17</v>
      </c>
      <c r="E50" s="6" t="n">
        <f aca="false">'Supuestos y fuentes'!$C$36</f>
        <v>300</v>
      </c>
      <c r="F50" s="7" t="n">
        <f aca="false">E50*(1+'Supuestos y fuentes'!$C$11)</f>
        <v>318</v>
      </c>
      <c r="G50" s="4" t="s">
        <v>39</v>
      </c>
      <c r="H50" s="8" t="n">
        <f aca="false">'Supuestos y fuentes'!$C$6+'Supuestos y fuentes'!$C$10</f>
        <v>7</v>
      </c>
      <c r="I50" s="7" t="n">
        <f aca="false">F50*H50</f>
        <v>2226</v>
      </c>
      <c r="J50" s="8" t="n">
        <f aca="false">'Supuestos y fuentes'!$C$7+'Supuestos y fuentes'!$C$10</f>
        <v>17</v>
      </c>
      <c r="K50" s="7" t="n">
        <f aca="false">F50*J50</f>
        <v>5406</v>
      </c>
      <c r="L50" s="9" t="s">
        <v>100</v>
      </c>
    </row>
    <row r="51" customFormat="false" ht="15" hidden="false" customHeight="false" outlineLevel="0" collapsed="false">
      <c r="A51" s="4" t="s">
        <v>95</v>
      </c>
      <c r="B51" s="4" t="s">
        <v>96</v>
      </c>
      <c r="C51" s="5" t="s">
        <v>101</v>
      </c>
      <c r="D51" s="4" t="s">
        <v>17</v>
      </c>
      <c r="E51" s="6" t="n">
        <f aca="false">'Supuestos y fuentes'!$C$50</f>
        <v>140</v>
      </c>
      <c r="F51" s="7" t="n">
        <f aca="false">E51*(1+'Supuestos y fuentes'!$C$11)</f>
        <v>148.4</v>
      </c>
      <c r="G51" s="4" t="s">
        <v>18</v>
      </c>
      <c r="H51" s="8" t="n">
        <f aca="false">'Supuestos y fuentes'!$C$6+'Supuestos y fuentes'!$C$9</f>
        <v>8</v>
      </c>
      <c r="I51" s="7" t="n">
        <f aca="false">F51*H51</f>
        <v>1187.2</v>
      </c>
      <c r="J51" s="8" t="n">
        <f aca="false">'Supuestos y fuentes'!$C$7+'Supuestos y fuentes'!$C$9</f>
        <v>18</v>
      </c>
      <c r="K51" s="7" t="n">
        <f aca="false">F51*J51</f>
        <v>2671.2</v>
      </c>
      <c r="L51" s="9" t="s">
        <v>102</v>
      </c>
    </row>
    <row r="52" customFormat="false" ht="15" hidden="false" customHeight="false" outlineLevel="0" collapsed="false">
      <c r="A52" s="4" t="s">
        <v>95</v>
      </c>
      <c r="B52" s="4" t="s">
        <v>96</v>
      </c>
      <c r="C52" s="5" t="s">
        <v>103</v>
      </c>
      <c r="D52" s="4" t="s">
        <v>17</v>
      </c>
      <c r="E52" s="6" t="n">
        <f aca="false">'Supuestos y fuentes'!$C$64</f>
        <v>50</v>
      </c>
      <c r="F52" s="7" t="n">
        <f aca="false">E52*(1+'Supuestos y fuentes'!$C$11)</f>
        <v>53</v>
      </c>
      <c r="G52" s="4" t="s">
        <v>18</v>
      </c>
      <c r="H52" s="8" t="n">
        <f aca="false">'Supuestos y fuentes'!$C$6+'Supuestos y fuentes'!$C$9</f>
        <v>8</v>
      </c>
      <c r="I52" s="7" t="n">
        <f aca="false">F52*H52</f>
        <v>424</v>
      </c>
      <c r="J52" s="8" t="n">
        <f aca="false">'Supuestos y fuentes'!$C$7+'Supuestos y fuentes'!$C$9</f>
        <v>18</v>
      </c>
      <c r="K52" s="7" t="n">
        <f aca="false">F52*J52</f>
        <v>954</v>
      </c>
      <c r="L52" s="9"/>
    </row>
    <row r="53" customFormat="false" ht="15" hidden="false" customHeight="false" outlineLevel="0" collapsed="false">
      <c r="A53" s="4" t="s">
        <v>104</v>
      </c>
      <c r="B53" s="4" t="s">
        <v>105</v>
      </c>
      <c r="C53" s="5" t="s">
        <v>46</v>
      </c>
      <c r="D53" s="4" t="s">
        <v>17</v>
      </c>
      <c r="E53" s="6" t="n">
        <f aca="false">'Supuestos y fuentes'!$C$39</f>
        <v>30</v>
      </c>
      <c r="F53" s="7" t="n">
        <f aca="false">E53*(1+'Supuestos y fuentes'!$C$11)</f>
        <v>31.8</v>
      </c>
      <c r="G53" s="4" t="s">
        <v>18</v>
      </c>
      <c r="H53" s="8" t="n">
        <f aca="false">'Supuestos y fuentes'!$C$6+'Supuestos y fuentes'!$C$9</f>
        <v>8</v>
      </c>
      <c r="I53" s="7" t="n">
        <f aca="false">F53*H53</f>
        <v>254.4</v>
      </c>
      <c r="J53" s="8" t="n">
        <f aca="false">'Supuestos y fuentes'!$C$7+'Supuestos y fuentes'!$C$9</f>
        <v>18</v>
      </c>
      <c r="K53" s="7" t="n">
        <f aca="false">F53*J53</f>
        <v>572.4</v>
      </c>
      <c r="L53" s="9"/>
    </row>
    <row r="54" customFormat="false" ht="15" hidden="false" customHeight="false" outlineLevel="0" collapsed="false">
      <c r="A54" s="4" t="s">
        <v>104</v>
      </c>
      <c r="B54" s="4" t="s">
        <v>105</v>
      </c>
      <c r="C54" s="5" t="s">
        <v>106</v>
      </c>
      <c r="D54" s="4" t="s">
        <v>17</v>
      </c>
      <c r="E54" s="6" t="n">
        <f aca="false">'Supuestos y fuentes'!$C$65</f>
        <v>750</v>
      </c>
      <c r="F54" s="7" t="n">
        <f aca="false">E54*(1+'Supuestos y fuentes'!$C$11)</f>
        <v>795</v>
      </c>
      <c r="G54" s="4" t="s">
        <v>18</v>
      </c>
      <c r="H54" s="8" t="n">
        <f aca="false">'Supuestos y fuentes'!$C$6+1</f>
        <v>6</v>
      </c>
      <c r="I54" s="7" t="n">
        <f aca="false">F54*H54</f>
        <v>4770</v>
      </c>
      <c r="J54" s="8" t="n">
        <f aca="false">'Supuestos y fuentes'!$C$7+1</f>
        <v>16</v>
      </c>
      <c r="K54" s="7" t="n">
        <f aca="false">F54*J54</f>
        <v>12720</v>
      </c>
      <c r="L54" s="9" t="s">
        <v>107</v>
      </c>
    </row>
    <row r="55" customFormat="false" ht="15" hidden="false" customHeight="false" outlineLevel="0" collapsed="false">
      <c r="A55" s="4" t="s">
        <v>104</v>
      </c>
      <c r="B55" s="4" t="s">
        <v>105</v>
      </c>
      <c r="C55" s="5" t="s">
        <v>108</v>
      </c>
      <c r="D55" s="4" t="s">
        <v>21</v>
      </c>
      <c r="E55" s="6" t="n">
        <f aca="false">'Supuestos y fuentes'!$C$70*4</f>
        <v>960</v>
      </c>
      <c r="F55" s="7" t="n">
        <f aca="false">E55*(1+'Supuestos y fuentes'!$C$11)</f>
        <v>1017.6</v>
      </c>
      <c r="G55" s="4" t="s">
        <v>36</v>
      </c>
      <c r="H55" s="8" t="n">
        <f aca="false">'Supuestos y fuentes'!$C$81</f>
        <v>1</v>
      </c>
      <c r="I55" s="7" t="n">
        <f aca="false">F55*H55</f>
        <v>1017.6</v>
      </c>
      <c r="J55" s="8" t="n">
        <f aca="false">'Supuestos y fuentes'!$C$82</f>
        <v>2</v>
      </c>
      <c r="K55" s="7" t="n">
        <f aca="false">F55*J55</f>
        <v>2035.2</v>
      </c>
      <c r="L55" s="9"/>
    </row>
    <row r="56" customFormat="false" ht="15" hidden="false" customHeight="false" outlineLevel="0" collapsed="false">
      <c r="A56" s="4" t="s">
        <v>104</v>
      </c>
      <c r="B56" s="4" t="s">
        <v>105</v>
      </c>
      <c r="C56" s="5" t="s">
        <v>109</v>
      </c>
      <c r="D56" s="4" t="s">
        <v>17</v>
      </c>
      <c r="E56" s="6" t="n">
        <f aca="false">'Supuestos y fuentes'!$C$51</f>
        <v>150</v>
      </c>
      <c r="F56" s="7" t="n">
        <f aca="false">E56*(1+'Supuestos y fuentes'!$C$11)</f>
        <v>159</v>
      </c>
      <c r="G56" s="4" t="s">
        <v>18</v>
      </c>
      <c r="H56" s="8" t="n">
        <f aca="false">'Supuestos y fuentes'!$C$6+'Supuestos y fuentes'!$C$9</f>
        <v>8</v>
      </c>
      <c r="I56" s="7" t="n">
        <f aca="false">F56*H56</f>
        <v>1272</v>
      </c>
      <c r="J56" s="8" t="n">
        <f aca="false">'Supuestos y fuentes'!$C$7+'Supuestos y fuentes'!$C$9</f>
        <v>18</v>
      </c>
      <c r="K56" s="7" t="n">
        <f aca="false">F56*J56</f>
        <v>2862</v>
      </c>
      <c r="L56" s="9" t="s">
        <v>110</v>
      </c>
    </row>
    <row r="57" customFormat="false" ht="15" hidden="false" customHeight="false" outlineLevel="0" collapsed="false">
      <c r="A57" s="4" t="s">
        <v>104</v>
      </c>
      <c r="B57" s="4" t="s">
        <v>105</v>
      </c>
      <c r="C57" s="5" t="s">
        <v>111</v>
      </c>
      <c r="D57" s="4" t="s">
        <v>17</v>
      </c>
      <c r="E57" s="6" t="n">
        <f aca="false">'Supuestos y fuentes'!$C$66*'Supuestos y fuentes'!$C$14</f>
        <v>0</v>
      </c>
      <c r="F57" s="7" t="n">
        <f aca="false">E57*(1+'Supuestos y fuentes'!$C$11)</f>
        <v>0</v>
      </c>
      <c r="G57" s="4" t="s">
        <v>18</v>
      </c>
      <c r="H57" s="8" t="n">
        <f aca="false">'Supuestos y fuentes'!$C$6+'Supuestos y fuentes'!$C$9</f>
        <v>8</v>
      </c>
      <c r="I57" s="7" t="n">
        <f aca="false">F57*H57</f>
        <v>0</v>
      </c>
      <c r="J57" s="8" t="n">
        <f aca="false">'Supuestos y fuentes'!$C$7+'Supuestos y fuentes'!$C$9</f>
        <v>18</v>
      </c>
      <c r="K57" s="7" t="n">
        <f aca="false">F57*J57</f>
        <v>0</v>
      </c>
      <c r="L57" s="9" t="s">
        <v>112</v>
      </c>
    </row>
    <row r="58" customFormat="false" ht="15" hidden="false" customHeight="false" outlineLevel="0" collapsed="false">
      <c r="A58" s="4" t="s">
        <v>104</v>
      </c>
      <c r="B58" s="4" t="s">
        <v>105</v>
      </c>
      <c r="C58" s="5" t="s">
        <v>113</v>
      </c>
      <c r="D58" s="4" t="s">
        <v>17</v>
      </c>
      <c r="E58" s="6" t="n">
        <f aca="false">'Supuestos y fuentes'!$C$52</f>
        <v>200</v>
      </c>
      <c r="F58" s="7" t="n">
        <f aca="false">E58*(1+'Supuestos y fuentes'!$C$11)</f>
        <v>212</v>
      </c>
      <c r="G58" s="4" t="s">
        <v>18</v>
      </c>
      <c r="H58" s="8" t="n">
        <f aca="false">'Supuestos y fuentes'!$C$6+'Supuestos y fuentes'!$C$9</f>
        <v>8</v>
      </c>
      <c r="I58" s="7" t="n">
        <f aca="false">F58*H58</f>
        <v>1696</v>
      </c>
      <c r="J58" s="8" t="n">
        <f aca="false">'Supuestos y fuentes'!$C$7+'Supuestos y fuentes'!$C$9</f>
        <v>18</v>
      </c>
      <c r="K58" s="7" t="n">
        <f aca="false">F58*J58</f>
        <v>3816</v>
      </c>
      <c r="L58" s="9" t="s">
        <v>114</v>
      </c>
    </row>
    <row r="59" customFormat="false" ht="15" hidden="false" customHeight="false" outlineLevel="0" collapsed="false">
      <c r="A59" s="4" t="s">
        <v>104</v>
      </c>
      <c r="B59" s="4" t="s">
        <v>105</v>
      </c>
      <c r="C59" s="5" t="s">
        <v>115</v>
      </c>
      <c r="D59" s="4" t="s">
        <v>17</v>
      </c>
      <c r="E59" s="6" t="n">
        <f aca="false">'Supuestos y fuentes'!$C$37</f>
        <v>420</v>
      </c>
      <c r="F59" s="7" t="n">
        <f aca="false">E59*(1+'Supuestos y fuentes'!$C$11)</f>
        <v>445.2</v>
      </c>
      <c r="G59" s="4" t="s">
        <v>39</v>
      </c>
      <c r="H59" s="8" t="n">
        <f aca="false">'Supuestos y fuentes'!$C$6+'Supuestos y fuentes'!$C$10</f>
        <v>7</v>
      </c>
      <c r="I59" s="7" t="n">
        <f aca="false">F59*H59</f>
        <v>3116.4</v>
      </c>
      <c r="J59" s="8" t="n">
        <f aca="false">'Supuestos y fuentes'!$C$7+'Supuestos y fuentes'!$C$10</f>
        <v>17</v>
      </c>
      <c r="K59" s="7" t="n">
        <f aca="false">F59*J59</f>
        <v>7568.4</v>
      </c>
      <c r="L59" s="9" t="s">
        <v>116</v>
      </c>
    </row>
    <row r="60" customFormat="false" ht="15" hidden="false" customHeight="false" outlineLevel="0" collapsed="false">
      <c r="A60" s="4" t="s">
        <v>117</v>
      </c>
      <c r="B60" s="4" t="s">
        <v>118</v>
      </c>
      <c r="C60" s="5" t="s">
        <v>46</v>
      </c>
      <c r="D60" s="4" t="s">
        <v>17</v>
      </c>
      <c r="E60" s="6" t="n">
        <f aca="false">'Supuestos y fuentes'!$C$39</f>
        <v>30</v>
      </c>
      <c r="F60" s="7" t="n">
        <f aca="false">E60*(1+'Supuestos y fuentes'!$C$11)</f>
        <v>31.8</v>
      </c>
      <c r="G60" s="4" t="s">
        <v>18</v>
      </c>
      <c r="H60" s="8" t="n">
        <f aca="false">'Supuestos y fuentes'!$C$6+'Supuestos y fuentes'!$C$9</f>
        <v>8</v>
      </c>
      <c r="I60" s="7" t="n">
        <f aca="false">F60*H60</f>
        <v>254.4</v>
      </c>
      <c r="J60" s="8" t="n">
        <f aca="false">'Supuestos y fuentes'!$C$7+'Supuestos y fuentes'!$C$9</f>
        <v>18</v>
      </c>
      <c r="K60" s="7" t="n">
        <f aca="false">F60*J60</f>
        <v>572.4</v>
      </c>
      <c r="L60" s="9"/>
    </row>
    <row r="61" customFormat="false" ht="28.35" hidden="false" customHeight="false" outlineLevel="0" collapsed="false">
      <c r="A61" s="4" t="s">
        <v>117</v>
      </c>
      <c r="B61" s="4" t="s">
        <v>118</v>
      </c>
      <c r="C61" s="5" t="s">
        <v>119</v>
      </c>
      <c r="D61" s="4" t="s">
        <v>21</v>
      </c>
      <c r="E61" s="6" t="n">
        <f aca="false">'Supuestos y fuentes'!$C$70*3</f>
        <v>720</v>
      </c>
      <c r="F61" s="7" t="n">
        <f aca="false">E61*(1+'Supuestos y fuentes'!$C$11)</f>
        <v>763.2</v>
      </c>
      <c r="G61" s="4" t="s">
        <v>36</v>
      </c>
      <c r="H61" s="8" t="n">
        <f aca="false">'Supuestos y fuentes'!$C$81</f>
        <v>1</v>
      </c>
      <c r="I61" s="7" t="n">
        <f aca="false">F61*H61</f>
        <v>763.2</v>
      </c>
      <c r="J61" s="8" t="n">
        <f aca="false">'Supuestos y fuentes'!$C$82</f>
        <v>2</v>
      </c>
      <c r="K61" s="7" t="n">
        <f aca="false">F61*J61</f>
        <v>1526.4</v>
      </c>
      <c r="L61" s="9" t="s">
        <v>120</v>
      </c>
    </row>
    <row r="63" customFormat="false" ht="15" hidden="false" customHeight="false" outlineLevel="0" collapsed="false">
      <c r="C63" s="10" t="s">
        <v>121</v>
      </c>
      <c r="I63" s="11" t="n">
        <f aca="false">SUM(I5:I61)</f>
        <v>86384.678918583</v>
      </c>
      <c r="K63" s="11" t="n">
        <f aca="false">SUM(K5:K61)</f>
        <v>193175.396755749</v>
      </c>
    </row>
  </sheetData>
  <autoFilter ref="A4:L61"/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20"/>
    <col collapsed="false" customWidth="true" hidden="false" outlineLevel="0" max="5" min="4" style="0" width="24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12" t="s">
        <v>123</v>
      </c>
    </row>
    <row r="4" customFormat="false" ht="15" hidden="false" customHeight="false" outlineLevel="0" collapsed="false">
      <c r="A4" s="13" t="s">
        <v>124</v>
      </c>
      <c r="B4" s="13" t="s">
        <v>125</v>
      </c>
      <c r="C4" s="13" t="s">
        <v>126</v>
      </c>
      <c r="D4" s="13" t="s">
        <v>13</v>
      </c>
    </row>
    <row r="5" customFormat="false" ht="15" hidden="false" customHeight="false" outlineLevel="0" collapsed="false">
      <c r="A5" s="14" t="s">
        <v>127</v>
      </c>
      <c r="B5" s="15" t="n">
        <f aca="false">'Supuestos y fuentes'!$C$6</f>
        <v>5</v>
      </c>
      <c r="C5" s="15" t="n">
        <f aca="false">'Supuestos y fuentes'!$C$7</f>
        <v>15</v>
      </c>
      <c r="D5" s="16"/>
    </row>
    <row r="6" customFormat="false" ht="15" hidden="false" customHeight="false" outlineLevel="0" collapsed="false">
      <c r="A6" s="14" t="s">
        <v>128</v>
      </c>
      <c r="B6" s="15" t="n">
        <f aca="false">'Supuestos y fuentes'!$C$9</f>
        <v>3</v>
      </c>
      <c r="C6" s="15" t="n">
        <f aca="false">'Supuestos y fuentes'!$C$9</f>
        <v>3</v>
      </c>
      <c r="D6" s="16"/>
    </row>
    <row r="7" customFormat="false" ht="15" hidden="false" customHeight="false" outlineLevel="0" collapsed="false">
      <c r="A7" s="14" t="s">
        <v>129</v>
      </c>
      <c r="B7" s="15" t="n">
        <f aca="false">'Supuestos y fuentes'!$C$77</f>
        <v>5</v>
      </c>
      <c r="C7" s="15" t="n">
        <f aca="false">'Supuestos y fuentes'!$C$78</f>
        <v>15</v>
      </c>
      <c r="D7" s="16"/>
    </row>
    <row r="8" customFormat="false" ht="15" hidden="false" customHeight="false" outlineLevel="0" collapsed="false">
      <c r="A8" s="14" t="s">
        <v>130</v>
      </c>
      <c r="B8" s="17" t="n">
        <f aca="false">SUMIFS('Costos por día'!$I$5:$I$61,'Costos por día'!$D$5:$D$61,"FIJO")</f>
        <v>24639.7</v>
      </c>
      <c r="C8" s="17" t="n">
        <f aca="false">SUMIFS('Costos por día'!$K$5:$K$61,'Costos por día'!$D$5:$D$61,"FIJO")</f>
        <v>27766.7</v>
      </c>
      <c r="D8" s="16" t="s">
        <v>131</v>
      </c>
    </row>
    <row r="9" customFormat="false" ht="15" hidden="false" customHeight="false" outlineLevel="0" collapsed="false">
      <c r="A9" s="14" t="s">
        <v>132</v>
      </c>
      <c r="B9" s="17" t="n">
        <f aca="false">SUMIFS('Costos por día'!$I$5:$I$61,'Costos por día'!$D$5:$D$61,"VARIABLE")</f>
        <v>61744.978918583</v>
      </c>
      <c r="C9" s="17" t="n">
        <f aca="false">SUMIFS('Costos por día'!$K$5:$K$61,'Costos por día'!$D$5:$D$61,"VARIABLE")</f>
        <v>165408.696755749</v>
      </c>
      <c r="D9" s="16" t="s">
        <v>133</v>
      </c>
    </row>
    <row r="10" customFormat="false" ht="15" hidden="false" customHeight="false" outlineLevel="0" collapsed="false">
      <c r="A10" s="14" t="s">
        <v>134</v>
      </c>
      <c r="B10" s="17" t="n">
        <f aca="false">B8+B9</f>
        <v>86384.678918583</v>
      </c>
      <c r="C10" s="17" t="n">
        <f aca="false">C8+C9</f>
        <v>193175.396755749</v>
      </c>
      <c r="D10" s="16"/>
    </row>
    <row r="11" customFormat="false" ht="15" hidden="false" customHeight="false" outlineLevel="0" collapsed="false">
      <c r="A11" s="14" t="s">
        <v>135</v>
      </c>
      <c r="B11" s="17" t="n">
        <f aca="false">B10*'Supuestos y fuentes'!$C$12</f>
        <v>6910.77431348664</v>
      </c>
      <c r="C11" s="17" t="n">
        <f aca="false">C10*'Supuestos y fuentes'!$C$12</f>
        <v>15454.0317404599</v>
      </c>
      <c r="D11" s="16" t="s">
        <v>136</v>
      </c>
    </row>
    <row r="12" customFormat="false" ht="15" hidden="false" customHeight="false" outlineLevel="0" collapsed="false">
      <c r="A12" s="14" t="s">
        <v>137</v>
      </c>
      <c r="B12" s="17" t="n">
        <f aca="false">B5*'Supuestos y fuentes'!$C$8*'Supuestos y fuentes'!$C$13</f>
        <v>4500</v>
      </c>
      <c r="C12" s="17" t="n">
        <f aca="false">C5*'Supuestos y fuentes'!$C$8*'Supuestos y fuentes'!$C$13</f>
        <v>13500</v>
      </c>
      <c r="D12" s="16" t="s">
        <v>138</v>
      </c>
    </row>
    <row r="13" customFormat="false" ht="15" hidden="false" customHeight="false" outlineLevel="0" collapsed="false">
      <c r="A13" s="18" t="s">
        <v>139</v>
      </c>
      <c r="B13" s="19" t="n">
        <f aca="false">B10+B11+B12</f>
        <v>97795.4532320696</v>
      </c>
      <c r="C13" s="19" t="n">
        <f aca="false">C10+C11+C12</f>
        <v>222129.428496209</v>
      </c>
      <c r="D13" s="16"/>
    </row>
    <row r="14" customFormat="false" ht="15" hidden="false" customHeight="false" outlineLevel="0" collapsed="false">
      <c r="A14" s="18" t="s">
        <v>140</v>
      </c>
      <c r="B14" s="17" t="n">
        <f aca="false">IF(B5=0,0,B13/B5)</f>
        <v>19559.0906464139</v>
      </c>
      <c r="C14" s="17" t="n">
        <f aca="false">IF(C5=0,0,C13/C5)</f>
        <v>14808.6285664139</v>
      </c>
      <c r="D14" s="16"/>
    </row>
    <row r="15" customFormat="false" ht="15" hidden="false" customHeight="false" outlineLevel="0" collapsed="false">
      <c r="A15" s="14" t="s">
        <v>141</v>
      </c>
      <c r="B15" s="17" t="n">
        <f aca="false">IF(B5=0,0,B8/B5)</f>
        <v>4927.94</v>
      </c>
      <c r="C15" s="17" t="n">
        <f aca="false">IF(C5=0,0,C8/C5)</f>
        <v>1851.11333333333</v>
      </c>
      <c r="D15" s="16" t="s">
        <v>142</v>
      </c>
    </row>
    <row r="16" customFormat="false" ht="15" hidden="false" customHeight="false" outlineLevel="0" collapsed="false">
      <c r="A16" s="14" t="s">
        <v>143</v>
      </c>
      <c r="B16" s="17" t="n">
        <f aca="false">IF(B5=0,0,B9/B5)</f>
        <v>12348.9957837166</v>
      </c>
      <c r="C16" s="17" t="n">
        <f aca="false">IF(C5=0,0,C9/C5)</f>
        <v>11027.2464503833</v>
      </c>
      <c r="D16" s="16"/>
    </row>
    <row r="18" customFormat="false" ht="15" hidden="false" customHeight="false" outlineLevel="0" collapsed="false">
      <c r="A18" s="10" t="s">
        <v>144</v>
      </c>
    </row>
    <row r="19" customFormat="false" ht="15" hidden="false" customHeight="false" outlineLevel="0" collapsed="false">
      <c r="A19" s="13" t="s">
        <v>2</v>
      </c>
      <c r="B19" s="13" t="s">
        <v>125</v>
      </c>
      <c r="C19" s="13" t="s">
        <v>126</v>
      </c>
      <c r="D19" s="13" t="s">
        <v>145</v>
      </c>
      <c r="E19" s="13" t="s">
        <v>146</v>
      </c>
    </row>
    <row r="20" customFormat="false" ht="15" hidden="false" customHeight="false" outlineLevel="0" collapsed="false">
      <c r="A20" s="20" t="s">
        <v>14</v>
      </c>
      <c r="B20" s="21" t="n">
        <f aca="false">SUMIFS('Costos por día'!$I$5:$I$61,'Costos por día'!$A$5:$A$61,A20)</f>
        <v>18722.78</v>
      </c>
      <c r="C20" s="21" t="n">
        <f aca="false">SUMIFS('Costos por día'!$K$5:$K$61,'Costos por día'!$A$5:$A$61,A20)</f>
        <v>34421.38</v>
      </c>
      <c r="D20" s="21" t="n">
        <f aca="false">IF($B$5=0,0,B20/$B$5)</f>
        <v>3744.556</v>
      </c>
      <c r="E20" s="21" t="n">
        <f aca="false">IF($C$5=0,0,C20/$C$5)</f>
        <v>2294.75866666667</v>
      </c>
    </row>
    <row r="21" customFormat="false" ht="15" hidden="false" customHeight="false" outlineLevel="0" collapsed="false">
      <c r="A21" s="20" t="s">
        <v>33</v>
      </c>
      <c r="B21" s="21" t="n">
        <f aca="false">SUMIFS('Costos por día'!$I$5:$I$61,'Costos por día'!$A$5:$A$61,A21)</f>
        <v>5798.2</v>
      </c>
      <c r="C21" s="21" t="n">
        <f aca="false">SUMIFS('Costos por día'!$K$5:$K$61,'Costos por día'!$A$5:$A$61,A21)</f>
        <v>13589.2</v>
      </c>
      <c r="D21" s="21" t="n">
        <f aca="false">IF($B$5=0,0,B21/$B$5)</f>
        <v>1159.64</v>
      </c>
      <c r="E21" s="21" t="n">
        <f aca="false">IF($C$5=0,0,C21/$C$5)</f>
        <v>905.946666666667</v>
      </c>
    </row>
    <row r="22" customFormat="false" ht="15" hidden="false" customHeight="false" outlineLevel="0" collapsed="false">
      <c r="A22" s="20" t="s">
        <v>44</v>
      </c>
      <c r="B22" s="21" t="n">
        <f aca="false">SUMIFS('Costos por día'!$I$5:$I$61,'Costos por día'!$A$5:$A$61,A22)</f>
        <v>6572</v>
      </c>
      <c r="C22" s="21" t="n">
        <f aca="false">SUMIFS('Costos por día'!$K$5:$K$61,'Costos por día'!$A$5:$A$61,A22)</f>
        <v>15285.2</v>
      </c>
      <c r="D22" s="21" t="n">
        <f aca="false">IF($B$5=0,0,B22/$B$5)</f>
        <v>1314.4</v>
      </c>
      <c r="E22" s="21" t="n">
        <f aca="false">IF($C$5=0,0,C22/$C$5)</f>
        <v>1019.01333333333</v>
      </c>
    </row>
    <row r="23" customFormat="false" ht="15" hidden="false" customHeight="false" outlineLevel="0" collapsed="false">
      <c r="A23" s="20" t="s">
        <v>54</v>
      </c>
      <c r="B23" s="21" t="n">
        <f aca="false">SUMIFS('Costos por día'!$I$5:$I$61,'Costos por día'!$A$5:$A$61,A23)</f>
        <v>21081.258918583</v>
      </c>
      <c r="C23" s="21" t="n">
        <f aca="false">SUMIFS('Costos por día'!$K$5:$K$61,'Costos por día'!$A$5:$A$61,A23)</f>
        <v>55791.9767557489</v>
      </c>
      <c r="D23" s="21" t="n">
        <f aca="false">IF($B$5=0,0,B23/$B$5)</f>
        <v>4216.25178371659</v>
      </c>
      <c r="E23" s="21" t="n">
        <f aca="false">IF($C$5=0,0,C23/$C$5)</f>
        <v>3719.46511704993</v>
      </c>
    </row>
    <row r="24" customFormat="false" ht="15" hidden="false" customHeight="false" outlineLevel="0" collapsed="false">
      <c r="A24" s="20" t="s">
        <v>71</v>
      </c>
      <c r="B24" s="21" t="n">
        <f aca="false">SUMIFS('Costos por día'!$I$5:$I$61,'Costos por día'!$A$5:$A$61,A24)</f>
        <v>4791.2</v>
      </c>
      <c r="C24" s="21" t="n">
        <f aca="false">SUMIFS('Costos por día'!$K$5:$K$61,'Costos por día'!$A$5:$A$61,A24)</f>
        <v>7653.2</v>
      </c>
      <c r="D24" s="21" t="n">
        <f aca="false">IF($B$5=0,0,B24/$B$5)</f>
        <v>958.24</v>
      </c>
      <c r="E24" s="21" t="n">
        <f aca="false">IF($C$5=0,0,C24/$C$5)</f>
        <v>510.213333333333</v>
      </c>
    </row>
    <row r="25" customFormat="false" ht="15" hidden="false" customHeight="false" outlineLevel="0" collapsed="false">
      <c r="A25" s="20" t="s">
        <v>81</v>
      </c>
      <c r="B25" s="21" t="n">
        <f aca="false">SUMIFS('Costos por día'!$I$5:$I$61,'Costos por día'!$A$5:$A$61,A25)</f>
        <v>11791.44</v>
      </c>
      <c r="C25" s="21" t="n">
        <f aca="false">SUMIFS('Costos por día'!$K$5:$K$61,'Costos por día'!$A$5:$A$61,A25)</f>
        <v>24235.84</v>
      </c>
      <c r="D25" s="21" t="n">
        <f aca="false">IF($B$5=0,0,B25/$B$5)</f>
        <v>2358.288</v>
      </c>
      <c r="E25" s="21" t="n">
        <f aca="false">IF($C$5=0,0,C25/$C$5)</f>
        <v>1615.72266666667</v>
      </c>
    </row>
    <row r="26" customFormat="false" ht="15" hidden="false" customHeight="false" outlineLevel="0" collapsed="false">
      <c r="A26" s="20" t="s">
        <v>95</v>
      </c>
      <c r="B26" s="21" t="n">
        <f aca="false">SUMIFS('Costos por día'!$I$5:$I$61,'Costos por día'!$A$5:$A$61,A26)</f>
        <v>4483.8</v>
      </c>
      <c r="C26" s="21" t="n">
        <f aca="false">SUMIFS('Costos por día'!$K$5:$K$61,'Costos por día'!$A$5:$A$61,A26)</f>
        <v>10525.8</v>
      </c>
      <c r="D26" s="21" t="n">
        <f aca="false">IF($B$5=0,0,B26/$B$5)</f>
        <v>896.76</v>
      </c>
      <c r="E26" s="21" t="n">
        <f aca="false">IF($C$5=0,0,C26/$C$5)</f>
        <v>701.72</v>
      </c>
    </row>
    <row r="27" customFormat="false" ht="15" hidden="false" customHeight="false" outlineLevel="0" collapsed="false">
      <c r="A27" s="20" t="s">
        <v>104</v>
      </c>
      <c r="B27" s="21" t="n">
        <f aca="false">SUMIFS('Costos por día'!$I$5:$I$61,'Costos por día'!$A$5:$A$61,A27)</f>
        <v>12126.4</v>
      </c>
      <c r="C27" s="21" t="n">
        <f aca="false">SUMIFS('Costos por día'!$K$5:$K$61,'Costos por día'!$A$5:$A$61,A27)</f>
        <v>29574</v>
      </c>
      <c r="D27" s="21" t="n">
        <f aca="false">IF($B$5=0,0,B27/$B$5)</f>
        <v>2425.28</v>
      </c>
      <c r="E27" s="21" t="n">
        <f aca="false">IF($C$5=0,0,C27/$C$5)</f>
        <v>1971.6</v>
      </c>
    </row>
    <row r="28" customFormat="false" ht="15" hidden="false" customHeight="false" outlineLevel="0" collapsed="false">
      <c r="A28" s="20" t="s">
        <v>117</v>
      </c>
      <c r="B28" s="21" t="n">
        <f aca="false">SUMIFS('Costos por día'!$I$5:$I$61,'Costos por día'!$A$5:$A$61,A28)</f>
        <v>1017.6</v>
      </c>
      <c r="C28" s="21" t="n">
        <f aca="false">SUMIFS('Costos por día'!$K$5:$K$61,'Costos por día'!$A$5:$A$61,A28)</f>
        <v>2098.8</v>
      </c>
      <c r="D28" s="21" t="n">
        <f aca="false">IF($B$5=0,0,B28/$B$5)</f>
        <v>203.52</v>
      </c>
      <c r="E28" s="21" t="n">
        <f aca="false">IF($C$5=0,0,C28/$C$5)</f>
        <v>139.92</v>
      </c>
    </row>
    <row r="29" customFormat="false" ht="15" hidden="false" customHeight="false" outlineLevel="0" collapsed="false">
      <c r="A29" s="10" t="s">
        <v>147</v>
      </c>
      <c r="B29" s="11" t="n">
        <f aca="false">SUM(B20:B28)</f>
        <v>86384.678918583</v>
      </c>
      <c r="C29" s="11" t="n">
        <f aca="false">SUM(C20:C28)</f>
        <v>193175.396755749</v>
      </c>
      <c r="D29" s="11" t="n">
        <f aca="false">SUM(D20:D28)</f>
        <v>17276.9357837166</v>
      </c>
      <c r="E29" s="11" t="n">
        <f aca="false">SUM(E20:E28)</f>
        <v>12878.3597837166</v>
      </c>
    </row>
    <row r="31" customFormat="false" ht="15" hidden="false" customHeight="false" outlineLevel="0" collapsed="false">
      <c r="A31" s="10" t="s">
        <v>148</v>
      </c>
    </row>
    <row r="32" customFormat="false" ht="15" hidden="false" customHeight="false" outlineLevel="0" collapsed="false">
      <c r="A32" s="13" t="s">
        <v>149</v>
      </c>
      <c r="B32" s="13" t="s">
        <v>125</v>
      </c>
      <c r="C32" s="13" t="s">
        <v>126</v>
      </c>
    </row>
    <row r="33" customFormat="false" ht="15" hidden="false" customHeight="false" outlineLevel="0" collapsed="false">
      <c r="A33" s="20" t="s">
        <v>150</v>
      </c>
      <c r="B33" s="21" t="n">
        <f aca="false">SUMIFS('Costos por día'!$I$5:$I$61,'Costos por día'!$C$5:$C$61,"Vuelo*")</f>
        <v>9752</v>
      </c>
      <c r="C33" s="21" t="n">
        <f aca="false">SUMIFS('Costos por día'!$K$5:$K$61,'Costos por día'!$C$5:$C$61,"Vuelo*")</f>
        <v>21942</v>
      </c>
    </row>
    <row r="34" customFormat="false" ht="15" hidden="false" customHeight="false" outlineLevel="0" collapsed="false">
      <c r="A34" s="20" t="s">
        <v>151</v>
      </c>
      <c r="B34" s="21" t="n">
        <f aca="false">SUMIFS('Costos por día'!$I$5:$I$61,'Costos por día'!$C$5:$C$61,"*habitaci*")</f>
        <v>13334.8</v>
      </c>
      <c r="C34" s="21" t="n">
        <f aca="false">SUMIFS('Costos por día'!$K$5:$K$61,'Costos por día'!$C$5:$C$61,"*habitaci*")</f>
        <v>29234.8</v>
      </c>
    </row>
    <row r="35" customFormat="false" ht="15" hidden="false" customHeight="false" outlineLevel="0" collapsed="false">
      <c r="A35" s="20" t="s">
        <v>152</v>
      </c>
      <c r="B35" s="21" t="n">
        <f aca="false">SUMIFS('Costos por día'!$I$5:$I$61,'Costos por día'!$C$5:$C$61,"*auto*")</f>
        <v>17222.858918583</v>
      </c>
      <c r="C35" s="21" t="n">
        <f aca="false">SUMIFS('Costos por día'!$K$5:$K$61,'Costos por día'!$C$5:$C$61,"*auto*")</f>
        <v>48488.5767557489</v>
      </c>
    </row>
    <row r="36" customFormat="false" ht="15" hidden="false" customHeight="false" outlineLevel="0" collapsed="false">
      <c r="A36" s="20" t="s">
        <v>153</v>
      </c>
      <c r="B36" s="21" t="n">
        <f aca="false">SUMIFS('Costos por día'!$I$5:$I$61,'Costos por día'!$C$5:$C$61,"Desayuno*")</f>
        <v>1780.8</v>
      </c>
      <c r="C36" s="21" t="n">
        <f aca="false">SUMIFS('Costos por día'!$K$5:$K$61,'Costos por día'!$C$5:$C$61,"Desayuno*")</f>
        <v>4006.8</v>
      </c>
    </row>
    <row r="37" customFormat="false" ht="15" hidden="false" customHeight="false" outlineLevel="0" collapsed="false">
      <c r="A37" s="20" t="s">
        <v>154</v>
      </c>
      <c r="B37" s="21" t="n">
        <f aca="false">SUMIFS('Costos por día'!$I$5:$I$61,'Costos por día'!$C$5:$C$61,"Cena*")</f>
        <v>5936</v>
      </c>
      <c r="C37" s="21" t="n">
        <f aca="false">SUMIFS('Costos por día'!$K$5:$K$61,'Costos por día'!$C$5:$C$61,"Cena*")</f>
        <v>13356</v>
      </c>
    </row>
    <row r="38" customFormat="false" ht="15" hidden="false" customHeight="false" outlineLevel="0" collapsed="false">
      <c r="A38" s="20" t="s">
        <v>155</v>
      </c>
      <c r="B38" s="21" t="n">
        <f aca="false">SUMIFS('Costos por día'!$I$5:$I$61,'Costos por día'!$C$5:$C$61,"Almuerzo*")</f>
        <v>2484.64</v>
      </c>
      <c r="C38" s="21" t="n">
        <f aca="false">SUMIFS('Costos por día'!$K$5:$K$61,'Costos por día'!$C$5:$C$61,"Almuerzo*")</f>
        <v>5590.44</v>
      </c>
    </row>
    <row r="39" customFormat="false" ht="15" hidden="false" customHeight="false" outlineLevel="0" collapsed="false">
      <c r="A39" s="20" t="s">
        <v>156</v>
      </c>
      <c r="B39" s="21" t="n">
        <f aca="false">SUMIFS('Costos por día'!$I$5:$I$61,'Costos por día'!$C$5:$C$61,"Helic*")</f>
        <v>2283.24</v>
      </c>
      <c r="C39" s="21" t="n">
        <f aca="false">SUMIFS('Costos por día'!$K$5:$K$61,'Costos por día'!$C$5:$C$61,"Helic*")</f>
        <v>6088.64</v>
      </c>
    </row>
    <row r="40" customFormat="false" ht="15" hidden="false" customHeight="false" outlineLevel="0" collapsed="false">
      <c r="A40" s="20" t="s">
        <v>157</v>
      </c>
      <c r="B40" s="21" t="n">
        <f aca="false">SUMIFS('Costos por día'!$I$5:$I$61,'Costos por día'!$C$5:$C$61,"Experiencia de pista*")</f>
        <v>4770</v>
      </c>
      <c r="C40" s="21" t="n">
        <f aca="false">SUMIFS('Costos por día'!$K$5:$K$61,'Costos por día'!$C$5:$C$61,"Experiencia de pista*")</f>
        <v>12720</v>
      </c>
    </row>
    <row r="41" customFormat="false" ht="15" hidden="false" customHeight="false" outlineLevel="0" collapsed="false">
      <c r="A41" s="20" t="s">
        <v>158</v>
      </c>
      <c r="B41" s="21" t="n">
        <f aca="false">SUMIFS('Costos por día'!$I$5:$I$61,'Costos por día'!$C$5:$C$61,"*sprinter*")</f>
        <v>3127</v>
      </c>
      <c r="C41" s="21" t="n">
        <f aca="false">SUMIFS('Costos por día'!$K$5:$K$61,'Costos por día'!$C$5:$C$61,"*sprinter*")</f>
        <v>6254</v>
      </c>
    </row>
    <row r="42" customFormat="false" ht="15" hidden="false" customHeight="false" outlineLevel="0" collapsed="false">
      <c r="A42" s="12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20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12" t="s">
        <v>161</v>
      </c>
    </row>
    <row r="4" customFormat="false" ht="15" hidden="false" customHeight="false" outlineLevel="0" collapsed="false">
      <c r="A4" s="13" t="s">
        <v>124</v>
      </c>
      <c r="B4" s="13" t="s">
        <v>162</v>
      </c>
      <c r="C4" s="13" t="s">
        <v>163</v>
      </c>
      <c r="D4" s="13" t="s">
        <v>13</v>
      </c>
    </row>
    <row r="5" customFormat="false" ht="15" hidden="false" customHeight="false" outlineLevel="0" collapsed="false">
      <c r="A5" s="14" t="s">
        <v>127</v>
      </c>
      <c r="B5" s="15" t="n">
        <f aca="false">'Escenarios 5 vs 15'!B5</f>
        <v>5</v>
      </c>
      <c r="C5" s="15" t="n">
        <f aca="false">'Escenarios 5 vs 15'!C5</f>
        <v>15</v>
      </c>
      <c r="D5" s="16"/>
    </row>
    <row r="6" customFormat="false" ht="15" hidden="false" customHeight="false" outlineLevel="0" collapsed="false">
      <c r="A6" s="14" t="s">
        <v>164</v>
      </c>
      <c r="B6" s="17" t="n">
        <f aca="false">'Supuestos y fuentes'!$C$8</f>
        <v>30000</v>
      </c>
      <c r="C6" s="17" t="n">
        <f aca="false">'Supuestos y fuentes'!$C$8</f>
        <v>30000</v>
      </c>
      <c r="D6" s="16"/>
    </row>
    <row r="7" customFormat="false" ht="15" hidden="false" customHeight="false" outlineLevel="0" collapsed="false">
      <c r="A7" s="18" t="s">
        <v>165</v>
      </c>
      <c r="B7" s="19" t="n">
        <f aca="false">B5*B6</f>
        <v>150000</v>
      </c>
      <c r="C7" s="19" t="n">
        <f aca="false">C5*C6</f>
        <v>450000</v>
      </c>
      <c r="D7" s="16"/>
    </row>
    <row r="8" customFormat="false" ht="15" hidden="false" customHeight="false" outlineLevel="0" collapsed="false">
      <c r="A8" s="14" t="s">
        <v>166</v>
      </c>
      <c r="B8" s="17" t="n">
        <f aca="false">'Escenarios 5 vs 15'!B8</f>
        <v>24639.7</v>
      </c>
      <c r="C8" s="17" t="n">
        <f aca="false">'Escenarios 5 vs 15'!C8</f>
        <v>27766.7</v>
      </c>
      <c r="D8" s="16"/>
    </row>
    <row r="9" customFormat="false" ht="15" hidden="false" customHeight="false" outlineLevel="0" collapsed="false">
      <c r="A9" s="14" t="s">
        <v>167</v>
      </c>
      <c r="B9" s="17" t="n">
        <f aca="false">'Escenarios 5 vs 15'!B9</f>
        <v>61744.978918583</v>
      </c>
      <c r="C9" s="17" t="n">
        <f aca="false">'Escenarios 5 vs 15'!C9</f>
        <v>165408.696755749</v>
      </c>
      <c r="D9" s="16"/>
    </row>
    <row r="10" customFormat="false" ht="15" hidden="false" customHeight="false" outlineLevel="0" collapsed="false">
      <c r="A10" s="14" t="s">
        <v>168</v>
      </c>
      <c r="B10" s="17" t="n">
        <f aca="false">'Escenarios 5 vs 15'!B11+'Escenarios 5 vs 15'!B12</f>
        <v>11410.7743134866</v>
      </c>
      <c r="C10" s="17" t="n">
        <f aca="false">'Escenarios 5 vs 15'!C11+'Escenarios 5 vs 15'!C12</f>
        <v>28954.0317404599</v>
      </c>
      <c r="D10" s="16"/>
    </row>
    <row r="11" customFormat="false" ht="15" hidden="false" customHeight="false" outlineLevel="0" collapsed="false">
      <c r="A11" s="18" t="s">
        <v>139</v>
      </c>
      <c r="B11" s="19" t="n">
        <f aca="false">B8+B9+B10</f>
        <v>97795.4532320696</v>
      </c>
      <c r="C11" s="19" t="n">
        <f aca="false">C8+C9+C10</f>
        <v>222129.428496209</v>
      </c>
      <c r="D11" s="16"/>
    </row>
    <row r="12" customFormat="false" ht="15" hidden="false" customHeight="false" outlineLevel="0" collapsed="false">
      <c r="A12" s="18" t="s">
        <v>169</v>
      </c>
      <c r="B12" s="19" t="n">
        <f aca="false">B7-B11</f>
        <v>52204.5467679304</v>
      </c>
      <c r="C12" s="19" t="n">
        <f aca="false">C7-C11</f>
        <v>227870.571503791</v>
      </c>
      <c r="D12" s="16"/>
    </row>
    <row r="13" customFormat="false" ht="15" hidden="false" customHeight="false" outlineLevel="0" collapsed="false">
      <c r="A13" s="14" t="s">
        <v>170</v>
      </c>
      <c r="B13" s="22" t="n">
        <f aca="false">IF(B7=0,0,B12/B7)</f>
        <v>0.348030311786203</v>
      </c>
      <c r="C13" s="22" t="n">
        <f aca="false">IF(C7=0,0,C12/C7)</f>
        <v>0.506379047786203</v>
      </c>
      <c r="D13" s="16"/>
    </row>
    <row r="14" customFormat="false" ht="15" hidden="false" customHeight="false" outlineLevel="0" collapsed="false">
      <c r="A14" s="14" t="s">
        <v>171</v>
      </c>
      <c r="B14" s="17" t="n">
        <f aca="false">IF(B5=0,0,B12/B5)</f>
        <v>10440.9093535861</v>
      </c>
      <c r="C14" s="17" t="n">
        <f aca="false">IF(C5=0,0,C12/C5)</f>
        <v>15191.3714335861</v>
      </c>
      <c r="D14" s="16"/>
    </row>
    <row r="15" customFormat="false" ht="15" hidden="false" customHeight="false" outlineLevel="0" collapsed="false">
      <c r="A15" s="14" t="s">
        <v>172</v>
      </c>
      <c r="B15" s="17" t="n">
        <f aca="false">IF(B5=0,0,(B9+B10)/B5)</f>
        <v>14631.1506464139</v>
      </c>
      <c r="C15" s="17" t="n">
        <f aca="false">IF(C5=0,0,(C9+C10)/C5)</f>
        <v>12957.5152330806</v>
      </c>
      <c r="D15" s="16"/>
    </row>
    <row r="16" customFormat="false" ht="15" hidden="false" customHeight="false" outlineLevel="0" collapsed="false">
      <c r="A16" s="14" t="s">
        <v>173</v>
      </c>
      <c r="B16" s="17" t="n">
        <f aca="false">B6-B15</f>
        <v>15368.8493535861</v>
      </c>
      <c r="C16" s="17" t="n">
        <f aca="false">C6-C15</f>
        <v>17042.4847669194</v>
      </c>
      <c r="D16" s="16"/>
    </row>
    <row r="17" customFormat="false" ht="15" hidden="false" customHeight="false" outlineLevel="0" collapsed="false">
      <c r="A17" s="14" t="s">
        <v>174</v>
      </c>
      <c r="B17" s="23" t="n">
        <f aca="false">IF(B16&lt;=0,"n/a",ROUNDUP(B8/B16,1))</f>
        <v>1.7</v>
      </c>
      <c r="C17" s="23" t="n">
        <f aca="false">IF(C16&lt;=0,"n/a",ROUNDUP(C8/C16,1))</f>
        <v>1.7</v>
      </c>
      <c r="D17" s="16" t="s">
        <v>175</v>
      </c>
    </row>
    <row r="19" customFormat="false" ht="15" hidden="false" customHeight="false" outlineLevel="0" collapsed="false">
      <c r="A19" s="10" t="s">
        <v>176</v>
      </c>
    </row>
    <row r="20" customFormat="false" ht="15" hidden="false" customHeight="false" outlineLevel="0" collapsed="false">
      <c r="A20" s="13" t="s">
        <v>177</v>
      </c>
      <c r="B20" s="13" t="s">
        <v>178</v>
      </c>
      <c r="C20" s="13" t="s">
        <v>179</v>
      </c>
      <c r="D20" s="13" t="s">
        <v>180</v>
      </c>
    </row>
    <row r="21" customFormat="false" ht="15" hidden="false" customHeight="false" outlineLevel="0" collapsed="false">
      <c r="A21" s="20" t="s">
        <v>181</v>
      </c>
      <c r="B21" s="21" t="n">
        <f aca="false">'Supuestos y fuentes'!$C$17-'Supuestos y fuentes'!$C$16</f>
        <v>2850</v>
      </c>
      <c r="C21" s="21" t="n">
        <f aca="false">'Supuestos y fuentes'!$C$83</f>
        <v>3277.5</v>
      </c>
      <c r="D21" s="21" t="n">
        <f aca="false">C21-B21</f>
        <v>427.5</v>
      </c>
    </row>
    <row r="22" customFormat="false" ht="15" hidden="false" customHeight="false" outlineLevel="0" collapsed="false">
      <c r="A22" s="20" t="s">
        <v>182</v>
      </c>
      <c r="B22" s="21" t="n">
        <f aca="false">'Supuestos y fuentes'!$C$66</f>
        <v>250</v>
      </c>
      <c r="C22" s="21" t="n">
        <f aca="false">'Supuestos y fuentes'!$C$66*1.2</f>
        <v>300</v>
      </c>
      <c r="D22" s="21" t="n">
        <f aca="false">C22-B22</f>
        <v>50</v>
      </c>
    </row>
    <row r="23" customFormat="false" ht="15" hidden="false" customHeight="false" outlineLevel="0" collapsed="false">
      <c r="A23" s="20" t="s">
        <v>183</v>
      </c>
      <c r="B23" s="21" t="n">
        <f aca="false">('Supuestos y fuentes'!$C$16+'Supuestos y fuentes'!$C$18*'Supuestos y fuentes'!$C$19+'Supuestos y fuentes'!$C$73+'Supuestos y fuentes'!$C$61+'Supuestos y fuentes'!$C$65+'Supuestos y fuentes'!$C$54+'Supuestos y fuentes'!$C$64+'Supuestos y fuentes'!$C$56+'Supuestos y fuentes'!$C$60+'Supuestos y fuentes'!$C$39*7+'Supuestos y fuentes'!$C$40+'Supuestos y fuentes'!$C$41+'Supuestos y fuentes'!$C$42+'Supuestos y fuentes'!$C$43+'Supuestos y fuentes'!$C$44+'Supuestos y fuentes'!$C$45+'Supuestos y fuentes'!$C$46+'Supuestos y fuentes'!$C$47+'Supuestos y fuentes'!$C$48+'Supuestos y fuentes'!$C$49+'Supuestos y fuentes'!$C$50+'Supuestos y fuentes'!$C$51+'Supuestos y fuentes'!$C$52)*(1+'Supuestos y fuentes'!$C$11)</f>
        <v>4494.4</v>
      </c>
      <c r="C23" s="21" t="n">
        <f aca="false">ROUND(B23*1.6,-2)</f>
        <v>7200</v>
      </c>
      <c r="D23" s="21" t="n">
        <f aca="false">C23-B23</f>
        <v>2705.6</v>
      </c>
    </row>
    <row r="24" customFormat="false" ht="15" hidden="false" customHeight="false" outlineLevel="0" collapsed="false">
      <c r="A24" s="12" t="s">
        <v>184</v>
      </c>
    </row>
    <row r="26" customFormat="false" ht="15" hidden="false" customHeight="false" outlineLevel="0" collapsed="false">
      <c r="A26" s="10" t="s">
        <v>185</v>
      </c>
    </row>
    <row r="27" customFormat="false" ht="15" hidden="false" customHeight="false" outlineLevel="0" collapsed="false">
      <c r="A27" s="12" t="s">
        <v>186</v>
      </c>
    </row>
    <row r="28" customFormat="false" ht="15" hidden="false" customHeight="false" outlineLevel="0" collapsed="false">
      <c r="A28" s="13" t="s">
        <v>187</v>
      </c>
      <c r="B28" s="24" t="n">
        <v>24000</v>
      </c>
      <c r="C28" s="24" t="n">
        <v>27000</v>
      </c>
      <c r="D28" s="24" t="n">
        <v>30000</v>
      </c>
      <c r="E28" s="24" t="n">
        <v>33000</v>
      </c>
      <c r="F28" s="24" t="n">
        <v>36000</v>
      </c>
    </row>
    <row r="29" customFormat="false" ht="15" hidden="false" customHeight="false" outlineLevel="0" collapsed="false">
      <c r="A29" s="25" t="n">
        <v>4</v>
      </c>
      <c r="B29" s="21" t="n">
        <f aca="false">$A29*B$28-('Escenarios 5 vs 15'!$C$8*(1+'Supuestos y fuentes'!$C$12))-$A29*('Escenarios 5 vs 15'!$C$9/'Escenarios 5 vs 15'!$C$5*(1+'Supuestos y fuentes'!$C$12))-$A29*B$28*'Supuestos y fuentes'!$C$13</f>
        <v>15494.2593343443</v>
      </c>
      <c r="C29" s="21" t="n">
        <f aca="false">$A29*C$28-('Escenarios 5 vs 15'!$C$8*(1+'Supuestos y fuentes'!$C$12))-$A29*('Escenarios 5 vs 15'!$C$9/'Escenarios 5 vs 15'!$C$5*(1+'Supuestos y fuentes'!$C$12))-$A29*C$28*'Supuestos y fuentes'!$C$13</f>
        <v>27134.2593343443</v>
      </c>
      <c r="D29" s="21" t="n">
        <f aca="false">$A29*D$28-('Escenarios 5 vs 15'!$C$8*(1+'Supuestos y fuentes'!$C$12))-$A29*('Escenarios 5 vs 15'!$C$9/'Escenarios 5 vs 15'!$C$5*(1+'Supuestos y fuentes'!$C$12))-$A29*D$28*'Supuestos y fuentes'!$C$13</f>
        <v>38774.2593343443</v>
      </c>
      <c r="E29" s="21" t="n">
        <f aca="false">$A29*E$28-('Escenarios 5 vs 15'!$C$8*(1+'Supuestos y fuentes'!$C$12))-$A29*('Escenarios 5 vs 15'!$C$9/'Escenarios 5 vs 15'!$C$5*(1+'Supuestos y fuentes'!$C$12))-$A29*E$28*'Supuestos y fuentes'!$C$13</f>
        <v>50414.2593343443</v>
      </c>
      <c r="F29" s="21" t="n">
        <f aca="false">$A29*F$28-('Escenarios 5 vs 15'!$C$8*(1+'Supuestos y fuentes'!$C$12))-$A29*('Escenarios 5 vs 15'!$C$9/'Escenarios 5 vs 15'!$C$5*(1+'Supuestos y fuentes'!$C$12))-$A29*F$28*'Supuestos y fuentes'!$C$13</f>
        <v>62054.2593343443</v>
      </c>
    </row>
    <row r="30" customFormat="false" ht="15" hidden="false" customHeight="false" outlineLevel="0" collapsed="false">
      <c r="A30" s="25" t="n">
        <v>5</v>
      </c>
      <c r="B30" s="21" t="n">
        <f aca="false">$A30*B$28-('Escenarios 5 vs 15'!$C$8*(1+'Supuestos y fuentes'!$C$12))-$A30*('Escenarios 5 vs 15'!$C$9/'Escenarios 5 vs 15'!$C$5*(1+'Supuestos y fuentes'!$C$12))-$A30*B$28*'Supuestos y fuentes'!$C$13</f>
        <v>26864.8331679304</v>
      </c>
      <c r="C30" s="21" t="n">
        <f aca="false">$A30*C$28-('Escenarios 5 vs 15'!$C$8*(1+'Supuestos y fuentes'!$C$12))-$A30*('Escenarios 5 vs 15'!$C$9/'Escenarios 5 vs 15'!$C$5*(1+'Supuestos y fuentes'!$C$12))-$A30*C$28*'Supuestos y fuentes'!$C$13</f>
        <v>41414.8331679304</v>
      </c>
      <c r="D30" s="21" t="n">
        <f aca="false">$A30*D$28-('Escenarios 5 vs 15'!$C$8*(1+'Supuestos y fuentes'!$C$12))-$A30*('Escenarios 5 vs 15'!$C$9/'Escenarios 5 vs 15'!$C$5*(1+'Supuestos y fuentes'!$C$12))-$A30*D$28*'Supuestos y fuentes'!$C$13</f>
        <v>55964.8331679304</v>
      </c>
      <c r="E30" s="21" t="n">
        <f aca="false">$A30*E$28-('Escenarios 5 vs 15'!$C$8*(1+'Supuestos y fuentes'!$C$12))-$A30*('Escenarios 5 vs 15'!$C$9/'Escenarios 5 vs 15'!$C$5*(1+'Supuestos y fuentes'!$C$12))-$A30*E$28*'Supuestos y fuentes'!$C$13</f>
        <v>70514.8331679304</v>
      </c>
      <c r="F30" s="21" t="n">
        <f aca="false">$A30*F$28-('Escenarios 5 vs 15'!$C$8*(1+'Supuestos y fuentes'!$C$12))-$A30*('Escenarios 5 vs 15'!$C$9/'Escenarios 5 vs 15'!$C$5*(1+'Supuestos y fuentes'!$C$12))-$A30*F$28*'Supuestos y fuentes'!$C$13</f>
        <v>85064.8331679304</v>
      </c>
    </row>
    <row r="31" customFormat="false" ht="15" hidden="false" customHeight="false" outlineLevel="0" collapsed="false">
      <c r="A31" s="25" t="n">
        <v>8</v>
      </c>
      <c r="B31" s="21" t="n">
        <f aca="false">$A31*B$28-('Escenarios 5 vs 15'!$C$8*(1+'Supuestos y fuentes'!$C$12))-$A31*('Escenarios 5 vs 15'!$C$9/'Escenarios 5 vs 15'!$C$5*(1+'Supuestos y fuentes'!$C$12))-$A31*B$28*'Supuestos y fuentes'!$C$13</f>
        <v>60976.5546686886</v>
      </c>
      <c r="C31" s="21" t="n">
        <f aca="false">$A31*C$28-('Escenarios 5 vs 15'!$C$8*(1+'Supuestos y fuentes'!$C$12))-$A31*('Escenarios 5 vs 15'!$C$9/'Escenarios 5 vs 15'!$C$5*(1+'Supuestos y fuentes'!$C$12))-$A31*C$28*'Supuestos y fuentes'!$C$13</f>
        <v>84256.5546686886</v>
      </c>
      <c r="D31" s="21" t="n">
        <f aca="false">$A31*D$28-('Escenarios 5 vs 15'!$C$8*(1+'Supuestos y fuentes'!$C$12))-$A31*('Escenarios 5 vs 15'!$C$9/'Escenarios 5 vs 15'!$C$5*(1+'Supuestos y fuentes'!$C$12))-$A31*D$28*'Supuestos y fuentes'!$C$13</f>
        <v>107536.554668689</v>
      </c>
      <c r="E31" s="21" t="n">
        <f aca="false">$A31*E$28-('Escenarios 5 vs 15'!$C$8*(1+'Supuestos y fuentes'!$C$12))-$A31*('Escenarios 5 vs 15'!$C$9/'Escenarios 5 vs 15'!$C$5*(1+'Supuestos y fuentes'!$C$12))-$A31*E$28*'Supuestos y fuentes'!$C$13</f>
        <v>130816.554668689</v>
      </c>
      <c r="F31" s="21" t="n">
        <f aca="false">$A31*F$28-('Escenarios 5 vs 15'!$C$8*(1+'Supuestos y fuentes'!$C$12))-$A31*('Escenarios 5 vs 15'!$C$9/'Escenarios 5 vs 15'!$C$5*(1+'Supuestos y fuentes'!$C$12))-$A31*F$28*'Supuestos y fuentes'!$C$13</f>
        <v>154096.554668689</v>
      </c>
    </row>
    <row r="32" customFormat="false" ht="15" hidden="false" customHeight="false" outlineLevel="0" collapsed="false">
      <c r="A32" s="25" t="n">
        <v>10</v>
      </c>
      <c r="B32" s="21" t="n">
        <f aca="false">$A32*B$28-('Escenarios 5 vs 15'!$C$8*(1+'Supuestos y fuentes'!$C$12))-$A32*('Escenarios 5 vs 15'!$C$9/'Escenarios 5 vs 15'!$C$5*(1+'Supuestos y fuentes'!$C$12))-$A32*B$28*'Supuestos y fuentes'!$C$13</f>
        <v>83717.7023358608</v>
      </c>
      <c r="C32" s="21" t="n">
        <f aca="false">$A32*C$28-('Escenarios 5 vs 15'!$C$8*(1+'Supuestos y fuentes'!$C$12))-$A32*('Escenarios 5 vs 15'!$C$9/'Escenarios 5 vs 15'!$C$5*(1+'Supuestos y fuentes'!$C$12))-$A32*C$28*'Supuestos y fuentes'!$C$13</f>
        <v>112817.702335861</v>
      </c>
      <c r="D32" s="21" t="n">
        <f aca="false">$A32*D$28-('Escenarios 5 vs 15'!$C$8*(1+'Supuestos y fuentes'!$C$12))-$A32*('Escenarios 5 vs 15'!$C$9/'Escenarios 5 vs 15'!$C$5*(1+'Supuestos y fuentes'!$C$12))-$A32*D$28*'Supuestos y fuentes'!$C$13</f>
        <v>141917.702335861</v>
      </c>
      <c r="E32" s="21" t="n">
        <f aca="false">$A32*E$28-('Escenarios 5 vs 15'!$C$8*(1+'Supuestos y fuentes'!$C$12))-$A32*('Escenarios 5 vs 15'!$C$9/'Escenarios 5 vs 15'!$C$5*(1+'Supuestos y fuentes'!$C$12))-$A32*E$28*'Supuestos y fuentes'!$C$13</f>
        <v>171017.702335861</v>
      </c>
      <c r="F32" s="21" t="n">
        <f aca="false">$A32*F$28-('Escenarios 5 vs 15'!$C$8*(1+'Supuestos y fuentes'!$C$12))-$A32*('Escenarios 5 vs 15'!$C$9/'Escenarios 5 vs 15'!$C$5*(1+'Supuestos y fuentes'!$C$12))-$A32*F$28*'Supuestos y fuentes'!$C$13</f>
        <v>200117.702335861</v>
      </c>
    </row>
    <row r="33" customFormat="false" ht="15" hidden="false" customHeight="false" outlineLevel="0" collapsed="false">
      <c r="A33" s="25" t="n">
        <v>12</v>
      </c>
      <c r="B33" s="21" t="n">
        <f aca="false">$A33*B$28-('Escenarios 5 vs 15'!$C$8*(1+'Supuestos y fuentes'!$C$12))-$A33*('Escenarios 5 vs 15'!$C$9/'Escenarios 5 vs 15'!$C$5*(1+'Supuestos y fuentes'!$C$12))-$A33*B$28*'Supuestos y fuentes'!$C$13</f>
        <v>106458.850003033</v>
      </c>
      <c r="C33" s="21" t="n">
        <f aca="false">$A33*C$28-('Escenarios 5 vs 15'!$C$8*(1+'Supuestos y fuentes'!$C$12))-$A33*('Escenarios 5 vs 15'!$C$9/'Escenarios 5 vs 15'!$C$5*(1+'Supuestos y fuentes'!$C$12))-$A33*C$28*'Supuestos y fuentes'!$C$13</f>
        <v>141378.850003033</v>
      </c>
      <c r="D33" s="21" t="n">
        <f aca="false">$A33*D$28-('Escenarios 5 vs 15'!$C$8*(1+'Supuestos y fuentes'!$C$12))-$A33*('Escenarios 5 vs 15'!$C$9/'Escenarios 5 vs 15'!$C$5*(1+'Supuestos y fuentes'!$C$12))-$A33*D$28*'Supuestos y fuentes'!$C$13</f>
        <v>176298.850003033</v>
      </c>
      <c r="E33" s="21" t="n">
        <f aca="false">$A33*E$28-('Escenarios 5 vs 15'!$C$8*(1+'Supuestos y fuentes'!$C$12))-$A33*('Escenarios 5 vs 15'!$C$9/'Escenarios 5 vs 15'!$C$5*(1+'Supuestos y fuentes'!$C$12))-$A33*E$28*'Supuestos y fuentes'!$C$13</f>
        <v>211218.850003033</v>
      </c>
      <c r="F33" s="21" t="n">
        <f aca="false">$A33*F$28-('Escenarios 5 vs 15'!$C$8*(1+'Supuestos y fuentes'!$C$12))-$A33*('Escenarios 5 vs 15'!$C$9/'Escenarios 5 vs 15'!$C$5*(1+'Supuestos y fuentes'!$C$12))-$A33*F$28*'Supuestos y fuentes'!$C$13</f>
        <v>246138.850003033</v>
      </c>
    </row>
    <row r="34" customFormat="false" ht="15" hidden="false" customHeight="false" outlineLevel="0" collapsed="false">
      <c r="A34" s="25" t="n">
        <v>15</v>
      </c>
      <c r="B34" s="21" t="n">
        <f aca="false">$A34*B$28-('Escenarios 5 vs 15'!$C$8*(1+'Supuestos y fuentes'!$C$12))-$A34*('Escenarios 5 vs 15'!$C$9/'Escenarios 5 vs 15'!$C$5*(1+'Supuestos y fuentes'!$C$12))-$A34*B$28*'Supuestos y fuentes'!$C$13</f>
        <v>140570.571503791</v>
      </c>
      <c r="C34" s="21" t="n">
        <f aca="false">$A34*C$28-('Escenarios 5 vs 15'!$C$8*(1+'Supuestos y fuentes'!$C$12))-$A34*('Escenarios 5 vs 15'!$C$9/'Escenarios 5 vs 15'!$C$5*(1+'Supuestos y fuentes'!$C$12))-$A34*C$28*'Supuestos y fuentes'!$C$13</f>
        <v>184220.571503791</v>
      </c>
      <c r="D34" s="21" t="n">
        <f aca="false">$A34*D$28-('Escenarios 5 vs 15'!$C$8*(1+'Supuestos y fuentes'!$C$12))-$A34*('Escenarios 5 vs 15'!$C$9/'Escenarios 5 vs 15'!$C$5*(1+'Supuestos y fuentes'!$C$12))-$A34*D$28*'Supuestos y fuentes'!$C$13</f>
        <v>227870.571503791</v>
      </c>
      <c r="E34" s="21" t="n">
        <f aca="false">$A34*E$28-('Escenarios 5 vs 15'!$C$8*(1+'Supuestos y fuentes'!$C$12))-$A34*('Escenarios 5 vs 15'!$C$9/'Escenarios 5 vs 15'!$C$5*(1+'Supuestos y fuentes'!$C$12))-$A34*E$28*'Supuestos y fuentes'!$C$13</f>
        <v>271520.571503791</v>
      </c>
      <c r="F34" s="21" t="n">
        <f aca="false">$A34*F$28-('Escenarios 5 vs 15'!$C$8*(1+'Supuestos y fuentes'!$C$12))-$A34*('Escenarios 5 vs 15'!$C$9/'Escenarios 5 vs 15'!$C$5*(1+'Supuestos y fuentes'!$C$12))-$A34*F$28*'Supuestos y fuentes'!$C$13</f>
        <v>315170.571503791</v>
      </c>
    </row>
    <row r="35" customFormat="false" ht="15" hidden="false" customHeight="false" outlineLevel="0" collapsed="false">
      <c r="A35" s="25" t="n">
        <v>18</v>
      </c>
      <c r="B35" s="21" t="n">
        <f aca="false">$A35*B$28-('Escenarios 5 vs 15'!$C$8*(1+'Supuestos y fuentes'!$C$12))-$A35*('Escenarios 5 vs 15'!$C$9/'Escenarios 5 vs 15'!$C$5*(1+'Supuestos y fuentes'!$C$12))-$A35*B$28*'Supuestos y fuentes'!$C$13</f>
        <v>174682.293004549</v>
      </c>
      <c r="C35" s="21" t="n">
        <f aca="false">$A35*C$28-('Escenarios 5 vs 15'!$C$8*(1+'Supuestos y fuentes'!$C$12))-$A35*('Escenarios 5 vs 15'!$C$9/'Escenarios 5 vs 15'!$C$5*(1+'Supuestos y fuentes'!$C$12))-$A35*C$28*'Supuestos y fuentes'!$C$13</f>
        <v>227062.293004549</v>
      </c>
      <c r="D35" s="21" t="n">
        <f aca="false">$A35*D$28-('Escenarios 5 vs 15'!$C$8*(1+'Supuestos y fuentes'!$C$12))-$A35*('Escenarios 5 vs 15'!$C$9/'Escenarios 5 vs 15'!$C$5*(1+'Supuestos y fuentes'!$C$12))-$A35*D$28*'Supuestos y fuentes'!$C$13</f>
        <v>279442.293004549</v>
      </c>
      <c r="E35" s="21" t="n">
        <f aca="false">$A35*E$28-('Escenarios 5 vs 15'!$C$8*(1+'Supuestos y fuentes'!$C$12))-$A35*('Escenarios 5 vs 15'!$C$9/'Escenarios 5 vs 15'!$C$5*(1+'Supuestos y fuentes'!$C$12))-$A35*E$28*'Supuestos y fuentes'!$C$13</f>
        <v>331822.293004549</v>
      </c>
      <c r="F35" s="21" t="n">
        <f aca="false">$A35*F$28-('Escenarios 5 vs 15'!$C$8*(1+'Supuestos y fuentes'!$C$12))-$A35*('Escenarios 5 vs 15'!$C$9/'Escenarios 5 vs 15'!$C$5*(1+'Supuestos y fuentes'!$C$12))-$A35*F$28*'Supuestos y fuentes'!$C$13</f>
        <v>384202.293004549</v>
      </c>
    </row>
    <row r="37" customFormat="false" ht="15" hidden="false" customHeight="false" outlineLevel="0" collapsed="false">
      <c r="A37" s="10" t="s">
        <v>188</v>
      </c>
    </row>
    <row r="38" customFormat="false" ht="15" hidden="false" customHeight="false" outlineLevel="0" collapsed="false">
      <c r="A38" s="13" t="s">
        <v>187</v>
      </c>
      <c r="B38" s="24" t="n">
        <v>24000</v>
      </c>
      <c r="C38" s="24" t="n">
        <v>27000</v>
      </c>
      <c r="D38" s="24" t="n">
        <v>30000</v>
      </c>
      <c r="E38" s="24" t="n">
        <v>33000</v>
      </c>
      <c r="F38" s="24" t="n">
        <v>36000</v>
      </c>
    </row>
    <row r="39" customFormat="false" ht="15" hidden="false" customHeight="false" outlineLevel="0" collapsed="false">
      <c r="A39" s="10" t="n">
        <v>4</v>
      </c>
      <c r="B39" s="26" t="n">
        <f aca="false">1-(('Escenarios 5 vs 15'!$C$8*(1+'Supuestos y fuentes'!$C$12))+$A39*('Escenarios 5 vs 15'!$C$9/'Escenarios 5 vs 15'!$C$5*(1+'Supuestos y fuentes'!$C$12))+$A39*B$38*'Supuestos y fuentes'!$C$13)/($A39*B$38)</f>
        <v>0.161398534732753</v>
      </c>
      <c r="C39" s="26" t="n">
        <f aca="false">1-(('Escenarios 5 vs 15'!$C$8*(1+'Supuestos y fuentes'!$C$12))+$A39*('Escenarios 5 vs 15'!$C$9/'Escenarios 5 vs 15'!$C$5*(1+'Supuestos y fuentes'!$C$12))+$A39*C$38*'Supuestos y fuentes'!$C$13)/($A39*C$38)</f>
        <v>0.251243141984669</v>
      </c>
      <c r="D39" s="26" t="n">
        <f aca="false">1-(('Escenarios 5 vs 15'!$C$8*(1+'Supuestos y fuentes'!$C$12))+$A39*('Escenarios 5 vs 15'!$C$9/'Escenarios 5 vs 15'!$C$5*(1+'Supuestos y fuentes'!$C$12))+$A39*D$38*'Supuestos y fuentes'!$C$13)/($A39*D$38)</f>
        <v>0.323118827786203</v>
      </c>
      <c r="E39" s="26" t="n">
        <f aca="false">1-(('Escenarios 5 vs 15'!$C$8*(1+'Supuestos y fuentes'!$C$12))+$A39*('Escenarios 5 vs 15'!$C$9/'Escenarios 5 vs 15'!$C$5*(1+'Supuestos y fuentes'!$C$12))+$A39*E$38*'Supuestos y fuentes'!$C$13)/($A39*E$38)</f>
        <v>0.381926207078366</v>
      </c>
      <c r="F39" s="26" t="n">
        <f aca="false">1-(('Escenarios 5 vs 15'!$C$8*(1+'Supuestos y fuentes'!$C$12))+$A39*('Escenarios 5 vs 15'!$C$9/'Escenarios 5 vs 15'!$C$5*(1+'Supuestos y fuentes'!$C$12))+$A39*F$38*'Supuestos y fuentes'!$C$13)/($A39*F$38)</f>
        <v>0.430932356488502</v>
      </c>
    </row>
    <row r="40" customFormat="false" ht="15" hidden="false" customHeight="false" outlineLevel="0" collapsed="false">
      <c r="A40" s="10" t="n">
        <v>5</v>
      </c>
      <c r="B40" s="26" t="n">
        <f aca="false">1-(('Escenarios 5 vs 15'!$C$8*(1+'Supuestos y fuentes'!$C$12))+$A40*('Escenarios 5 vs 15'!$C$9/'Escenarios 5 vs 15'!$C$5*(1+'Supuestos y fuentes'!$C$12))+$A40*B$38*'Supuestos y fuentes'!$C$13)/($A40*B$38)</f>
        <v>0.223873609732753</v>
      </c>
      <c r="C40" s="26" t="n">
        <f aca="false">1-(('Escenarios 5 vs 15'!$C$8*(1+'Supuestos y fuentes'!$C$12))+$A40*('Escenarios 5 vs 15'!$C$9/'Escenarios 5 vs 15'!$C$5*(1+'Supuestos y fuentes'!$C$12))+$A40*C$38*'Supuestos y fuentes'!$C$13)/($A40*C$38)</f>
        <v>0.30677654198467</v>
      </c>
      <c r="D40" s="26" t="n">
        <f aca="false">1-(('Escenarios 5 vs 15'!$C$8*(1+'Supuestos y fuentes'!$C$12))+$A40*('Escenarios 5 vs 15'!$C$9/'Escenarios 5 vs 15'!$C$5*(1+'Supuestos y fuentes'!$C$12))+$A40*D$38*'Supuestos y fuentes'!$C$13)/($A40*D$38)</f>
        <v>0.373098887786203</v>
      </c>
      <c r="E40" s="26" t="n">
        <f aca="false">1-(('Escenarios 5 vs 15'!$C$8*(1+'Supuestos y fuentes'!$C$12))+$A40*('Escenarios 5 vs 15'!$C$9/'Escenarios 5 vs 15'!$C$5*(1+'Supuestos y fuentes'!$C$12))+$A40*E$38*'Supuestos y fuentes'!$C$13)/($A40*E$38)</f>
        <v>0.427362625260184</v>
      </c>
      <c r="F40" s="26" t="n">
        <f aca="false">1-(('Escenarios 5 vs 15'!$C$8*(1+'Supuestos y fuentes'!$C$12))+$A40*('Escenarios 5 vs 15'!$C$9/'Escenarios 5 vs 15'!$C$5*(1+'Supuestos y fuentes'!$C$12))+$A40*F$38*'Supuestos y fuentes'!$C$13)/($A40*F$38)</f>
        <v>0.472582406488502</v>
      </c>
    </row>
    <row r="41" customFormat="false" ht="15" hidden="false" customHeight="false" outlineLevel="0" collapsed="false">
      <c r="A41" s="10" t="n">
        <v>8</v>
      </c>
      <c r="B41" s="26" t="n">
        <f aca="false">1-(('Escenarios 5 vs 15'!$C$8*(1+'Supuestos y fuentes'!$C$12))+$A41*('Escenarios 5 vs 15'!$C$9/'Escenarios 5 vs 15'!$C$5*(1+'Supuestos y fuentes'!$C$12))+$A41*B$38*'Supuestos y fuentes'!$C$13)/($A41*B$38)</f>
        <v>0.317586222232753</v>
      </c>
      <c r="C41" s="26" t="n">
        <f aca="false">1-(('Escenarios 5 vs 15'!$C$8*(1+'Supuestos y fuentes'!$C$12))+$A41*('Escenarios 5 vs 15'!$C$9/'Escenarios 5 vs 15'!$C$5*(1+'Supuestos y fuentes'!$C$12))+$A41*C$38*'Supuestos y fuentes'!$C$13)/($A41*C$38)</f>
        <v>0.39007664198467</v>
      </c>
      <c r="D41" s="26" t="n">
        <f aca="false">1-(('Escenarios 5 vs 15'!$C$8*(1+'Supuestos y fuentes'!$C$12))+$A41*('Escenarios 5 vs 15'!$C$9/'Escenarios 5 vs 15'!$C$5*(1+'Supuestos y fuentes'!$C$12))+$A41*D$38*'Supuestos y fuentes'!$C$13)/($A41*D$38)</f>
        <v>0.448068977786203</v>
      </c>
      <c r="E41" s="26" t="n">
        <f aca="false">1-(('Escenarios 5 vs 15'!$C$8*(1+'Supuestos y fuentes'!$C$12))+$A41*('Escenarios 5 vs 15'!$C$9/'Escenarios 5 vs 15'!$C$5*(1+'Supuestos y fuentes'!$C$12))+$A41*E$38*'Supuestos y fuentes'!$C$13)/($A41*E$38)</f>
        <v>0.495517252532911</v>
      </c>
      <c r="F41" s="26" t="n">
        <f aca="false">1-(('Escenarios 5 vs 15'!$C$8*(1+'Supuestos y fuentes'!$C$12))+$A41*('Escenarios 5 vs 15'!$C$9/'Escenarios 5 vs 15'!$C$5*(1+'Supuestos y fuentes'!$C$12))+$A41*F$38*'Supuestos y fuentes'!$C$13)/($A41*F$38)</f>
        <v>0.535057481488502</v>
      </c>
    </row>
    <row r="42" customFormat="false" ht="15" hidden="false" customHeight="false" outlineLevel="0" collapsed="false">
      <c r="A42" s="10" t="n">
        <v>10</v>
      </c>
      <c r="B42" s="26" t="n">
        <f aca="false">1-(('Escenarios 5 vs 15'!$C$8*(1+'Supuestos y fuentes'!$C$12))+$A42*('Escenarios 5 vs 15'!$C$9/'Escenarios 5 vs 15'!$C$5*(1+'Supuestos y fuentes'!$C$12))+$A42*B$38*'Supuestos y fuentes'!$C$13)/($A42*B$38)</f>
        <v>0.348823759732753</v>
      </c>
      <c r="C42" s="26" t="n">
        <f aca="false">1-(('Escenarios 5 vs 15'!$C$8*(1+'Supuestos y fuentes'!$C$12))+$A42*('Escenarios 5 vs 15'!$C$9/'Escenarios 5 vs 15'!$C$5*(1+'Supuestos y fuentes'!$C$12))+$A42*C$38*'Supuestos y fuentes'!$C$13)/($A42*C$38)</f>
        <v>0.41784334198467</v>
      </c>
      <c r="D42" s="26" t="n">
        <f aca="false">1-(('Escenarios 5 vs 15'!$C$8*(1+'Supuestos y fuentes'!$C$12))+$A42*('Escenarios 5 vs 15'!$C$9/'Escenarios 5 vs 15'!$C$5*(1+'Supuestos y fuentes'!$C$12))+$A42*D$38*'Supuestos y fuentes'!$C$13)/($A42*D$38)</f>
        <v>0.473059007786203</v>
      </c>
      <c r="E42" s="26" t="n">
        <f aca="false">1-(('Escenarios 5 vs 15'!$C$8*(1+'Supuestos y fuentes'!$C$12))+$A42*('Escenarios 5 vs 15'!$C$9/'Escenarios 5 vs 15'!$C$5*(1+'Supuestos y fuentes'!$C$12))+$A42*E$38*'Supuestos y fuentes'!$C$13)/($A42*E$38)</f>
        <v>0.518235461623821</v>
      </c>
      <c r="F42" s="26" t="n">
        <f aca="false">1-(('Escenarios 5 vs 15'!$C$8*(1+'Supuestos y fuentes'!$C$12))+$A42*('Escenarios 5 vs 15'!$C$9/'Escenarios 5 vs 15'!$C$5*(1+'Supuestos y fuentes'!$C$12))+$A42*F$38*'Supuestos y fuentes'!$C$13)/($A42*F$38)</f>
        <v>0.555882506488502</v>
      </c>
    </row>
    <row r="43" customFormat="false" ht="15" hidden="false" customHeight="false" outlineLevel="0" collapsed="false">
      <c r="A43" s="10" t="n">
        <v>12</v>
      </c>
      <c r="B43" s="26" t="n">
        <f aca="false">1-(('Escenarios 5 vs 15'!$C$8*(1+'Supuestos y fuentes'!$C$12))+$A43*('Escenarios 5 vs 15'!$C$9/'Escenarios 5 vs 15'!$C$5*(1+'Supuestos y fuentes'!$C$12))+$A43*B$38*'Supuestos y fuentes'!$C$13)/($A43*B$38)</f>
        <v>0.369648784732753</v>
      </c>
      <c r="C43" s="26" t="n">
        <f aca="false">1-(('Escenarios 5 vs 15'!$C$8*(1+'Supuestos y fuentes'!$C$12))+$A43*('Escenarios 5 vs 15'!$C$9/'Escenarios 5 vs 15'!$C$5*(1+'Supuestos y fuentes'!$C$12))+$A43*C$38*'Supuestos y fuentes'!$C$13)/($A43*C$38)</f>
        <v>0.436354475318003</v>
      </c>
      <c r="D43" s="26" t="n">
        <f aca="false">1-(('Escenarios 5 vs 15'!$C$8*(1+'Supuestos y fuentes'!$C$12))+$A43*('Escenarios 5 vs 15'!$C$9/'Escenarios 5 vs 15'!$C$5*(1+'Supuestos y fuentes'!$C$12))+$A43*D$38*'Supuestos y fuentes'!$C$13)/($A43*D$38)</f>
        <v>0.489719027786203</v>
      </c>
      <c r="E43" s="26" t="n">
        <f aca="false">1-(('Escenarios 5 vs 15'!$C$8*(1+'Supuestos y fuentes'!$C$12))+$A43*('Escenarios 5 vs 15'!$C$9/'Escenarios 5 vs 15'!$C$5*(1+'Supuestos y fuentes'!$C$12))+$A43*E$38*'Supuestos y fuentes'!$C$13)/($A43*E$38)</f>
        <v>0.533380934351093</v>
      </c>
      <c r="F43" s="26" t="n">
        <f aca="false">1-(('Escenarios 5 vs 15'!$C$8*(1+'Supuestos y fuentes'!$C$12))+$A43*('Escenarios 5 vs 15'!$C$9/'Escenarios 5 vs 15'!$C$5*(1+'Supuestos y fuentes'!$C$12))+$A43*F$38*'Supuestos y fuentes'!$C$13)/($A43*F$38)</f>
        <v>0.569765856488502</v>
      </c>
    </row>
    <row r="44" customFormat="false" ht="15" hidden="false" customHeight="false" outlineLevel="0" collapsed="false">
      <c r="A44" s="10" t="n">
        <v>15</v>
      </c>
      <c r="B44" s="26" t="n">
        <f aca="false">1-(('Escenarios 5 vs 15'!$C$8*(1+'Supuestos y fuentes'!$C$12))+$A44*('Escenarios 5 vs 15'!$C$9/'Escenarios 5 vs 15'!$C$5*(1+'Supuestos y fuentes'!$C$12))+$A44*B$38*'Supuestos y fuentes'!$C$13)/($A44*B$38)</f>
        <v>0.390473809732753</v>
      </c>
      <c r="C44" s="26" t="n">
        <f aca="false">1-(('Escenarios 5 vs 15'!$C$8*(1+'Supuestos y fuentes'!$C$12))+$A44*('Escenarios 5 vs 15'!$C$9/'Escenarios 5 vs 15'!$C$5*(1+'Supuestos y fuentes'!$C$12))+$A44*C$38*'Supuestos y fuentes'!$C$13)/($A44*C$38)</f>
        <v>0.454865608651336</v>
      </c>
      <c r="D44" s="26" t="n">
        <f aca="false">1-(('Escenarios 5 vs 15'!$C$8*(1+'Supuestos y fuentes'!$C$12))+$A44*('Escenarios 5 vs 15'!$C$9/'Escenarios 5 vs 15'!$C$5*(1+'Supuestos y fuentes'!$C$12))+$A44*D$38*'Supuestos y fuentes'!$C$13)/($A44*D$38)</f>
        <v>0.506379047786203</v>
      </c>
      <c r="E44" s="26" t="n">
        <f aca="false">1-(('Escenarios 5 vs 15'!$C$8*(1+'Supuestos y fuentes'!$C$12))+$A44*('Escenarios 5 vs 15'!$C$9/'Escenarios 5 vs 15'!$C$5*(1+'Supuestos y fuentes'!$C$12))+$A44*E$38*'Supuestos y fuentes'!$C$13)/($A44*E$38)</f>
        <v>0.548526407078366</v>
      </c>
      <c r="F44" s="26" t="n">
        <f aca="false">1-(('Escenarios 5 vs 15'!$C$8*(1+'Supuestos y fuentes'!$C$12))+$A44*('Escenarios 5 vs 15'!$C$9/'Escenarios 5 vs 15'!$C$5*(1+'Supuestos y fuentes'!$C$12))+$A44*F$38*'Supuestos y fuentes'!$C$13)/($A44*F$38)</f>
        <v>0.583649206488502</v>
      </c>
    </row>
    <row r="45" customFormat="false" ht="15" hidden="false" customHeight="false" outlineLevel="0" collapsed="false">
      <c r="A45" s="10" t="n">
        <v>18</v>
      </c>
      <c r="B45" s="26" t="n">
        <f aca="false">1-(('Escenarios 5 vs 15'!$C$8*(1+'Supuestos y fuentes'!$C$12))+$A45*('Escenarios 5 vs 15'!$C$9/'Escenarios 5 vs 15'!$C$5*(1+'Supuestos y fuentes'!$C$12))+$A45*B$38*'Supuestos y fuentes'!$C$13)/($A45*B$38)</f>
        <v>0.404357159732753</v>
      </c>
      <c r="C45" s="26" t="n">
        <f aca="false">1-(('Escenarios 5 vs 15'!$C$8*(1+'Supuestos y fuentes'!$C$12))+$A45*('Escenarios 5 vs 15'!$C$9/'Escenarios 5 vs 15'!$C$5*(1+'Supuestos y fuentes'!$C$12))+$A45*C$38*'Supuestos y fuentes'!$C$13)/($A45*C$38)</f>
        <v>0.467206364206892</v>
      </c>
      <c r="D45" s="26" t="n">
        <f aca="false">1-(('Escenarios 5 vs 15'!$C$8*(1+'Supuestos y fuentes'!$C$12))+$A45*('Escenarios 5 vs 15'!$C$9/'Escenarios 5 vs 15'!$C$5*(1+'Supuestos y fuentes'!$C$12))+$A45*D$38*'Supuestos y fuentes'!$C$13)/($A45*D$38)</f>
        <v>0.517485727786203</v>
      </c>
      <c r="E45" s="26" t="n">
        <f aca="false">1-(('Escenarios 5 vs 15'!$C$8*(1+'Supuestos y fuentes'!$C$12))+$A45*('Escenarios 5 vs 15'!$C$9/'Escenarios 5 vs 15'!$C$5*(1+'Supuestos y fuentes'!$C$12))+$A45*E$38*'Supuestos y fuentes'!$C$13)/($A45*E$38)</f>
        <v>0.558623388896548</v>
      </c>
      <c r="F45" s="26" t="n">
        <f aca="false">1-(('Escenarios 5 vs 15'!$C$8*(1+'Supuestos y fuentes'!$C$12))+$A45*('Escenarios 5 vs 15'!$C$9/'Escenarios 5 vs 15'!$C$5*(1+'Supuestos y fuentes'!$C$12))+$A45*F$38*'Supuestos y fuentes'!$C$13)/($A45*F$38)</f>
        <v>0.592904773155169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80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7" t="s">
        <v>191</v>
      </c>
      <c r="B4" s="27" t="s">
        <v>192</v>
      </c>
      <c r="C4" s="27" t="s">
        <v>193</v>
      </c>
      <c r="D4" s="27" t="s">
        <v>8</v>
      </c>
      <c r="E4" s="27" t="s">
        <v>194</v>
      </c>
      <c r="F4" s="27" t="s">
        <v>195</v>
      </c>
    </row>
    <row r="5" customFormat="false" ht="15" hidden="false" customHeight="false" outlineLevel="0" collapsed="false">
      <c r="A5" s="28" t="s">
        <v>196</v>
      </c>
      <c r="B5" s="29"/>
      <c r="C5" s="29"/>
      <c r="D5" s="29"/>
      <c r="E5" s="29"/>
      <c r="F5" s="29"/>
    </row>
    <row r="6" customFormat="false" ht="15" hidden="false" customHeight="false" outlineLevel="0" collapsed="false">
      <c r="A6" s="30" t="s">
        <v>197</v>
      </c>
      <c r="B6" s="31" t="s">
        <v>198</v>
      </c>
      <c r="C6" s="32" t="n">
        <v>5</v>
      </c>
      <c r="D6" s="33" t="s">
        <v>199</v>
      </c>
      <c r="E6" s="34" t="s">
        <v>200</v>
      </c>
      <c r="F6" s="4"/>
    </row>
    <row r="7" customFormat="false" ht="15" hidden="false" customHeight="false" outlineLevel="0" collapsed="false">
      <c r="A7" s="30" t="s">
        <v>201</v>
      </c>
      <c r="B7" s="31" t="s">
        <v>202</v>
      </c>
      <c r="C7" s="32" t="n">
        <v>15</v>
      </c>
      <c r="D7" s="33" t="s">
        <v>199</v>
      </c>
      <c r="E7" s="34" t="s">
        <v>200</v>
      </c>
      <c r="F7" s="4"/>
    </row>
    <row r="8" customFormat="false" ht="15" hidden="false" customHeight="false" outlineLevel="0" collapsed="false">
      <c r="A8" s="30" t="s">
        <v>203</v>
      </c>
      <c r="B8" s="31" t="s">
        <v>204</v>
      </c>
      <c r="C8" s="35" t="n">
        <v>30000</v>
      </c>
      <c r="D8" s="33" t="s">
        <v>205</v>
      </c>
      <c r="E8" s="34" t="s">
        <v>206</v>
      </c>
      <c r="F8" s="4"/>
    </row>
    <row r="9" customFormat="false" ht="15" hidden="false" customHeight="false" outlineLevel="0" collapsed="false">
      <c r="A9" s="30" t="s">
        <v>207</v>
      </c>
      <c r="B9" s="31" t="s">
        <v>208</v>
      </c>
      <c r="C9" s="32" t="n">
        <v>3</v>
      </c>
      <c r="D9" s="33" t="s">
        <v>199</v>
      </c>
      <c r="E9" s="34" t="s">
        <v>209</v>
      </c>
      <c r="F9" s="4"/>
    </row>
    <row r="10" customFormat="false" ht="15" hidden="false" customHeight="false" outlineLevel="0" collapsed="false">
      <c r="A10" s="30" t="s">
        <v>210</v>
      </c>
      <c r="B10" s="31" t="s">
        <v>211</v>
      </c>
      <c r="C10" s="32" t="n">
        <v>2</v>
      </c>
      <c r="D10" s="33" t="s">
        <v>212</v>
      </c>
      <c r="E10" s="34" t="s">
        <v>213</v>
      </c>
      <c r="F10" s="4"/>
    </row>
    <row r="11" customFormat="false" ht="22.35" hidden="false" customHeight="false" outlineLevel="0" collapsed="false">
      <c r="A11" s="30" t="s">
        <v>214</v>
      </c>
      <c r="B11" s="31" t="s">
        <v>215</v>
      </c>
      <c r="C11" s="36" t="n">
        <v>0.06</v>
      </c>
      <c r="D11" s="33" t="s">
        <v>216</v>
      </c>
      <c r="E11" s="34" t="s">
        <v>217</v>
      </c>
      <c r="F11" s="4"/>
    </row>
    <row r="12" customFormat="false" ht="15" hidden="false" customHeight="false" outlineLevel="0" collapsed="false">
      <c r="A12" s="30" t="s">
        <v>218</v>
      </c>
      <c r="B12" s="31" t="s">
        <v>219</v>
      </c>
      <c r="C12" s="36" t="n">
        <v>0.08</v>
      </c>
      <c r="D12" s="33" t="s">
        <v>216</v>
      </c>
      <c r="E12" s="34" t="s">
        <v>220</v>
      </c>
      <c r="F12" s="4"/>
    </row>
    <row r="13" customFormat="false" ht="15" hidden="false" customHeight="false" outlineLevel="0" collapsed="false">
      <c r="A13" s="30" t="s">
        <v>221</v>
      </c>
      <c r="B13" s="31" t="s">
        <v>222</v>
      </c>
      <c r="C13" s="36" t="n">
        <v>0.03</v>
      </c>
      <c r="D13" s="33" t="s">
        <v>216</v>
      </c>
      <c r="E13" s="34" t="s">
        <v>223</v>
      </c>
      <c r="F13" s="4"/>
    </row>
    <row r="14" customFormat="false" ht="15" hidden="false" customHeight="false" outlineLevel="0" collapsed="false">
      <c r="A14" s="30" t="s">
        <v>224</v>
      </c>
      <c r="B14" s="31" t="s">
        <v>225</v>
      </c>
      <c r="C14" s="32" t="n">
        <v>0</v>
      </c>
      <c r="D14" s="33" t="s">
        <v>226</v>
      </c>
      <c r="E14" s="34" t="s">
        <v>227</v>
      </c>
      <c r="F14" s="4"/>
    </row>
    <row r="15" customFormat="false" ht="15" hidden="false" customHeight="false" outlineLevel="0" collapsed="false">
      <c r="A15" s="28" t="s">
        <v>228</v>
      </c>
      <c r="B15" s="29"/>
      <c r="C15" s="29"/>
      <c r="D15" s="29"/>
      <c r="E15" s="29"/>
      <c r="F15" s="29"/>
    </row>
    <row r="16" customFormat="false" ht="22.35" hidden="false" customHeight="false" outlineLevel="0" collapsed="false">
      <c r="A16" s="30" t="s">
        <v>229</v>
      </c>
      <c r="B16" s="31" t="s">
        <v>230</v>
      </c>
      <c r="C16" s="35" t="n">
        <v>1150</v>
      </c>
      <c r="D16" s="33" t="s">
        <v>205</v>
      </c>
      <c r="E16" s="34" t="s">
        <v>231</v>
      </c>
      <c r="F16" s="37" t="s">
        <v>232</v>
      </c>
    </row>
    <row r="17" customFormat="false" ht="23.85" hidden="false" customHeight="false" outlineLevel="0" collapsed="false">
      <c r="A17" s="30" t="s">
        <v>233</v>
      </c>
      <c r="B17" s="31" t="s">
        <v>234</v>
      </c>
      <c r="C17" s="35" t="n">
        <v>4000</v>
      </c>
      <c r="D17" s="33" t="s">
        <v>205</v>
      </c>
      <c r="E17" s="34" t="s">
        <v>235</v>
      </c>
      <c r="F17" s="37" t="s">
        <v>236</v>
      </c>
    </row>
    <row r="18" customFormat="false" ht="22.35" hidden="false" customHeight="false" outlineLevel="0" collapsed="false">
      <c r="A18" s="30" t="s">
        <v>237</v>
      </c>
      <c r="B18" s="31" t="s">
        <v>238</v>
      </c>
      <c r="C18" s="35" t="n">
        <v>9</v>
      </c>
      <c r="D18" s="33" t="s">
        <v>239</v>
      </c>
      <c r="E18" s="34" t="s">
        <v>240</v>
      </c>
      <c r="F18" s="37" t="s">
        <v>241</v>
      </c>
    </row>
    <row r="19" customFormat="false" ht="15" hidden="false" customHeight="false" outlineLevel="0" collapsed="false">
      <c r="A19" s="30" t="s">
        <v>242</v>
      </c>
      <c r="B19" s="31" t="s">
        <v>243</v>
      </c>
      <c r="C19" s="32" t="n">
        <v>9</v>
      </c>
      <c r="D19" s="33" t="s">
        <v>244</v>
      </c>
      <c r="E19" s="34" t="s">
        <v>245</v>
      </c>
      <c r="F19" s="4"/>
    </row>
    <row r="20" customFormat="false" ht="15" hidden="false" customHeight="false" outlineLevel="0" collapsed="false">
      <c r="A20" s="28" t="s">
        <v>246</v>
      </c>
      <c r="B20" s="29"/>
      <c r="C20" s="29"/>
      <c r="D20" s="29"/>
      <c r="E20" s="29"/>
      <c r="F20" s="29"/>
    </row>
    <row r="21" customFormat="false" ht="22.35" hidden="false" customHeight="false" outlineLevel="0" collapsed="false">
      <c r="A21" s="30" t="s">
        <v>247</v>
      </c>
      <c r="B21" s="31" t="s">
        <v>248</v>
      </c>
      <c r="C21" s="35" t="n">
        <v>475</v>
      </c>
      <c r="D21" s="33" t="s">
        <v>249</v>
      </c>
      <c r="E21" s="34" t="s">
        <v>250</v>
      </c>
      <c r="F21" s="37" t="s">
        <v>251</v>
      </c>
    </row>
    <row r="22" customFormat="false" ht="15" hidden="false" customHeight="false" outlineLevel="0" collapsed="false">
      <c r="A22" s="30" t="s">
        <v>252</v>
      </c>
      <c r="B22" s="31" t="s">
        <v>253</v>
      </c>
      <c r="C22" s="32" t="n">
        <v>5</v>
      </c>
      <c r="D22" s="33" t="s">
        <v>244</v>
      </c>
      <c r="E22" s="34" t="s">
        <v>254</v>
      </c>
      <c r="F22" s="4"/>
    </row>
    <row r="23" customFormat="false" ht="22.35" hidden="false" customHeight="false" outlineLevel="0" collapsed="false">
      <c r="A23" s="30" t="s">
        <v>255</v>
      </c>
      <c r="B23" s="31" t="s">
        <v>256</v>
      </c>
      <c r="C23" s="35" t="n">
        <v>45</v>
      </c>
      <c r="D23" s="33" t="s">
        <v>249</v>
      </c>
      <c r="E23" s="34" t="s">
        <v>257</v>
      </c>
      <c r="F23" s="37" t="s">
        <v>258</v>
      </c>
    </row>
    <row r="24" customFormat="false" ht="15" hidden="false" customHeight="false" outlineLevel="0" collapsed="false">
      <c r="A24" s="30" t="s">
        <v>259</v>
      </c>
      <c r="B24" s="31" t="s">
        <v>260</v>
      </c>
      <c r="C24" s="38" t="n">
        <v>1</v>
      </c>
      <c r="D24" s="33" t="s">
        <v>261</v>
      </c>
      <c r="E24" s="34" t="s">
        <v>262</v>
      </c>
      <c r="F24" s="4"/>
    </row>
    <row r="25" customFormat="false" ht="43.25" hidden="false" customHeight="false" outlineLevel="0" collapsed="false">
      <c r="A25" s="30" t="s">
        <v>263</v>
      </c>
      <c r="B25" s="31" t="s">
        <v>264</v>
      </c>
      <c r="C25" s="32" t="n">
        <v>1350</v>
      </c>
      <c r="D25" s="33" t="s">
        <v>265</v>
      </c>
      <c r="E25" s="34" t="s">
        <v>266</v>
      </c>
      <c r="F25" s="37" t="s">
        <v>267</v>
      </c>
    </row>
    <row r="26" customFormat="false" ht="15" hidden="false" customHeight="false" outlineLevel="0" collapsed="false">
      <c r="A26" s="30" t="s">
        <v>268</v>
      </c>
      <c r="B26" s="31" t="s">
        <v>269</v>
      </c>
      <c r="C26" s="38" t="n">
        <v>12</v>
      </c>
      <c r="D26" s="33" t="s">
        <v>270</v>
      </c>
      <c r="E26" s="34" t="s">
        <v>271</v>
      </c>
      <c r="F26" s="4"/>
    </row>
    <row r="27" customFormat="false" ht="15" hidden="false" customHeight="false" outlineLevel="0" collapsed="false">
      <c r="A27" s="30" t="s">
        <v>272</v>
      </c>
      <c r="B27" s="31" t="s">
        <v>273</v>
      </c>
      <c r="C27" s="39" t="n">
        <v>5</v>
      </c>
      <c r="D27" s="33" t="s">
        <v>274</v>
      </c>
      <c r="E27" s="34" t="s">
        <v>275</v>
      </c>
      <c r="F27" s="37" t="s">
        <v>276</v>
      </c>
    </row>
    <row r="28" customFormat="false" ht="22.35" hidden="false" customHeight="false" outlineLevel="0" collapsed="false">
      <c r="A28" s="30" t="s">
        <v>277</v>
      </c>
      <c r="B28" s="31" t="s">
        <v>278</v>
      </c>
      <c r="C28" s="35" t="n">
        <v>95</v>
      </c>
      <c r="D28" s="33" t="s">
        <v>279</v>
      </c>
      <c r="E28" s="34" t="s">
        <v>280</v>
      </c>
      <c r="F28" s="37" t="s">
        <v>281</v>
      </c>
    </row>
    <row r="29" customFormat="false" ht="15" hidden="false" customHeight="false" outlineLevel="0" collapsed="false">
      <c r="A29" s="30" t="s">
        <v>282</v>
      </c>
      <c r="B29" s="31" t="s">
        <v>283</v>
      </c>
      <c r="C29" s="32" t="n">
        <v>7</v>
      </c>
      <c r="D29" s="33" t="s">
        <v>244</v>
      </c>
      <c r="E29" s="34" t="s">
        <v>284</v>
      </c>
      <c r="F29" s="4"/>
    </row>
    <row r="30" customFormat="false" ht="22.35" hidden="false" customHeight="false" outlineLevel="0" collapsed="false">
      <c r="A30" s="30" t="s">
        <v>285</v>
      </c>
      <c r="B30" s="31" t="s">
        <v>286</v>
      </c>
      <c r="C30" s="35" t="n">
        <v>900</v>
      </c>
      <c r="D30" s="33" t="s">
        <v>287</v>
      </c>
      <c r="E30" s="34" t="s">
        <v>288</v>
      </c>
      <c r="F30" s="4"/>
    </row>
    <row r="31" customFormat="false" ht="15" hidden="false" customHeight="false" outlineLevel="0" collapsed="false">
      <c r="A31" s="28" t="s">
        <v>289</v>
      </c>
      <c r="B31" s="29"/>
      <c r="C31" s="29"/>
      <c r="D31" s="29"/>
      <c r="E31" s="29"/>
      <c r="F31" s="29"/>
    </row>
    <row r="32" customFormat="false" ht="22.35" hidden="false" customHeight="false" outlineLevel="0" collapsed="false">
      <c r="A32" s="30" t="s">
        <v>290</v>
      </c>
      <c r="B32" s="31" t="s">
        <v>291</v>
      </c>
      <c r="C32" s="35" t="n">
        <v>520</v>
      </c>
      <c r="D32" s="33" t="s">
        <v>292</v>
      </c>
      <c r="E32" s="34" t="s">
        <v>293</v>
      </c>
      <c r="F32" s="37" t="s">
        <v>294</v>
      </c>
    </row>
    <row r="33" customFormat="false" ht="22.35" hidden="false" customHeight="false" outlineLevel="0" collapsed="false">
      <c r="A33" s="30" t="s">
        <v>295</v>
      </c>
      <c r="B33" s="31" t="s">
        <v>296</v>
      </c>
      <c r="C33" s="35" t="n">
        <v>160</v>
      </c>
      <c r="D33" s="33" t="s">
        <v>292</v>
      </c>
      <c r="E33" s="34" t="s">
        <v>297</v>
      </c>
      <c r="F33" s="37" t="s">
        <v>298</v>
      </c>
    </row>
    <row r="34" customFormat="false" ht="23.85" hidden="false" customHeight="false" outlineLevel="0" collapsed="false">
      <c r="A34" s="30" t="s">
        <v>299</v>
      </c>
      <c r="B34" s="31" t="s">
        <v>300</v>
      </c>
      <c r="C34" s="35" t="n">
        <v>140</v>
      </c>
      <c r="D34" s="33" t="s">
        <v>292</v>
      </c>
      <c r="E34" s="34" t="s">
        <v>301</v>
      </c>
      <c r="F34" s="37" t="s">
        <v>302</v>
      </c>
    </row>
    <row r="35" customFormat="false" ht="22.35" hidden="false" customHeight="false" outlineLevel="0" collapsed="false">
      <c r="A35" s="30" t="s">
        <v>303</v>
      </c>
      <c r="B35" s="31" t="s">
        <v>304</v>
      </c>
      <c r="C35" s="35" t="n">
        <v>480</v>
      </c>
      <c r="D35" s="33" t="s">
        <v>292</v>
      </c>
      <c r="E35" s="34" t="s">
        <v>305</v>
      </c>
      <c r="F35" s="37" t="s">
        <v>306</v>
      </c>
    </row>
    <row r="36" customFormat="false" ht="22.35" hidden="false" customHeight="false" outlineLevel="0" collapsed="false">
      <c r="A36" s="30" t="s">
        <v>307</v>
      </c>
      <c r="B36" s="31" t="s">
        <v>308</v>
      </c>
      <c r="C36" s="35" t="n">
        <v>300</v>
      </c>
      <c r="D36" s="33" t="s">
        <v>292</v>
      </c>
      <c r="E36" s="34" t="s">
        <v>309</v>
      </c>
      <c r="F36" s="37" t="s">
        <v>310</v>
      </c>
    </row>
    <row r="37" customFormat="false" ht="22.35" hidden="false" customHeight="false" outlineLevel="0" collapsed="false">
      <c r="A37" s="30" t="s">
        <v>311</v>
      </c>
      <c r="B37" s="31" t="s">
        <v>312</v>
      </c>
      <c r="C37" s="35" t="n">
        <v>420</v>
      </c>
      <c r="D37" s="33" t="s">
        <v>292</v>
      </c>
      <c r="E37" s="34" t="s">
        <v>313</v>
      </c>
      <c r="F37" s="37" t="s">
        <v>314</v>
      </c>
    </row>
    <row r="38" customFormat="false" ht="15" hidden="false" customHeight="false" outlineLevel="0" collapsed="false">
      <c r="A38" s="28" t="s">
        <v>315</v>
      </c>
      <c r="B38" s="29"/>
      <c r="C38" s="29"/>
      <c r="D38" s="29"/>
      <c r="E38" s="29"/>
      <c r="F38" s="29"/>
    </row>
    <row r="39" customFormat="false" ht="15" hidden="false" customHeight="false" outlineLevel="0" collapsed="false">
      <c r="A39" s="30" t="s">
        <v>316</v>
      </c>
      <c r="B39" s="31" t="s">
        <v>317</v>
      </c>
      <c r="C39" s="35" t="n">
        <v>30</v>
      </c>
      <c r="D39" s="33" t="s">
        <v>205</v>
      </c>
      <c r="E39" s="34" t="s">
        <v>318</v>
      </c>
      <c r="F39" s="4"/>
    </row>
    <row r="40" customFormat="false" ht="22.35" hidden="false" customHeight="false" outlineLevel="0" collapsed="false">
      <c r="A40" s="30" t="s">
        <v>319</v>
      </c>
      <c r="B40" s="31" t="s">
        <v>320</v>
      </c>
      <c r="C40" s="35" t="n">
        <v>160</v>
      </c>
      <c r="D40" s="33" t="s">
        <v>205</v>
      </c>
      <c r="E40" s="34" t="s">
        <v>321</v>
      </c>
      <c r="F40" s="37" t="s">
        <v>322</v>
      </c>
    </row>
    <row r="41" customFormat="false" ht="15" hidden="false" customHeight="false" outlineLevel="0" collapsed="false">
      <c r="A41" s="30" t="s">
        <v>323</v>
      </c>
      <c r="B41" s="31" t="s">
        <v>324</v>
      </c>
      <c r="C41" s="35" t="n">
        <v>70</v>
      </c>
      <c r="D41" s="33" t="s">
        <v>205</v>
      </c>
      <c r="E41" s="34" t="s">
        <v>325</v>
      </c>
      <c r="F41" s="37" t="s">
        <v>326</v>
      </c>
    </row>
    <row r="42" customFormat="false" ht="15" hidden="false" customHeight="false" outlineLevel="0" collapsed="false">
      <c r="A42" s="30" t="s">
        <v>327</v>
      </c>
      <c r="B42" s="31" t="s">
        <v>328</v>
      </c>
      <c r="C42" s="35" t="n">
        <v>35</v>
      </c>
      <c r="D42" s="33" t="s">
        <v>205</v>
      </c>
      <c r="E42" s="34" t="s">
        <v>329</v>
      </c>
      <c r="F42" s="4"/>
    </row>
    <row r="43" customFormat="false" ht="15" hidden="false" customHeight="false" outlineLevel="0" collapsed="false">
      <c r="A43" s="30" t="s">
        <v>330</v>
      </c>
      <c r="B43" s="31" t="s">
        <v>70</v>
      </c>
      <c r="C43" s="35" t="n">
        <v>70</v>
      </c>
      <c r="D43" s="33" t="s">
        <v>205</v>
      </c>
      <c r="E43" s="34" t="s">
        <v>331</v>
      </c>
      <c r="F43" s="4"/>
    </row>
    <row r="44" customFormat="false" ht="15" hidden="false" customHeight="false" outlineLevel="0" collapsed="false">
      <c r="A44" s="30" t="s">
        <v>332</v>
      </c>
      <c r="B44" s="31" t="s">
        <v>333</v>
      </c>
      <c r="C44" s="35" t="n">
        <v>28</v>
      </c>
      <c r="D44" s="33" t="s">
        <v>205</v>
      </c>
      <c r="E44" s="34" t="s">
        <v>334</v>
      </c>
      <c r="F44" s="4"/>
    </row>
    <row r="45" customFormat="false" ht="15" hidden="false" customHeight="false" outlineLevel="0" collapsed="false">
      <c r="A45" s="30" t="s">
        <v>335</v>
      </c>
      <c r="B45" s="31" t="s">
        <v>336</v>
      </c>
      <c r="C45" s="35" t="n">
        <v>12</v>
      </c>
      <c r="D45" s="33" t="s">
        <v>205</v>
      </c>
      <c r="E45" s="34" t="s">
        <v>192</v>
      </c>
      <c r="F45" s="4"/>
    </row>
    <row r="46" customFormat="false" ht="15" hidden="false" customHeight="false" outlineLevel="0" collapsed="false">
      <c r="A46" s="30" t="s">
        <v>337</v>
      </c>
      <c r="B46" s="31" t="s">
        <v>338</v>
      </c>
      <c r="C46" s="35" t="n">
        <v>60</v>
      </c>
      <c r="D46" s="33" t="s">
        <v>205</v>
      </c>
      <c r="E46" s="34" t="s">
        <v>339</v>
      </c>
      <c r="F46" s="4"/>
    </row>
    <row r="47" customFormat="false" ht="15" hidden="false" customHeight="false" outlineLevel="0" collapsed="false">
      <c r="A47" s="30" t="s">
        <v>340</v>
      </c>
      <c r="B47" s="31" t="s">
        <v>341</v>
      </c>
      <c r="C47" s="35" t="n">
        <v>45</v>
      </c>
      <c r="D47" s="33" t="s">
        <v>205</v>
      </c>
      <c r="E47" s="34" t="s">
        <v>192</v>
      </c>
      <c r="F47" s="4"/>
    </row>
    <row r="48" customFormat="false" ht="22.35" hidden="false" customHeight="false" outlineLevel="0" collapsed="false">
      <c r="A48" s="30" t="s">
        <v>342</v>
      </c>
      <c r="B48" s="31" t="s">
        <v>343</v>
      </c>
      <c r="C48" s="35" t="n">
        <v>125</v>
      </c>
      <c r="D48" s="33" t="s">
        <v>205</v>
      </c>
      <c r="E48" s="34" t="s">
        <v>344</v>
      </c>
      <c r="F48" s="37" t="s">
        <v>345</v>
      </c>
    </row>
    <row r="49" customFormat="false" ht="15" hidden="false" customHeight="false" outlineLevel="0" collapsed="false">
      <c r="A49" s="30" t="s">
        <v>346</v>
      </c>
      <c r="B49" s="31" t="s">
        <v>347</v>
      </c>
      <c r="C49" s="35" t="n">
        <v>35</v>
      </c>
      <c r="D49" s="33" t="s">
        <v>205</v>
      </c>
      <c r="E49" s="34" t="s">
        <v>192</v>
      </c>
      <c r="F49" s="4"/>
    </row>
    <row r="50" customFormat="false" ht="15" hidden="false" customHeight="false" outlineLevel="0" collapsed="false">
      <c r="A50" s="30" t="s">
        <v>348</v>
      </c>
      <c r="B50" s="31" t="s">
        <v>349</v>
      </c>
      <c r="C50" s="35" t="n">
        <v>140</v>
      </c>
      <c r="D50" s="33" t="s">
        <v>205</v>
      </c>
      <c r="E50" s="34" t="s">
        <v>350</v>
      </c>
      <c r="F50" s="4"/>
    </row>
    <row r="51" customFormat="false" ht="15" hidden="false" customHeight="false" outlineLevel="0" collapsed="false">
      <c r="A51" s="30" t="s">
        <v>351</v>
      </c>
      <c r="B51" s="31" t="s">
        <v>352</v>
      </c>
      <c r="C51" s="35" t="n">
        <v>150</v>
      </c>
      <c r="D51" s="33" t="s">
        <v>205</v>
      </c>
      <c r="E51" s="34" t="s">
        <v>353</v>
      </c>
      <c r="F51" s="37" t="s">
        <v>322</v>
      </c>
    </row>
    <row r="52" customFormat="false" ht="15" hidden="false" customHeight="false" outlineLevel="0" collapsed="false">
      <c r="A52" s="30" t="s">
        <v>354</v>
      </c>
      <c r="B52" s="31" t="s">
        <v>355</v>
      </c>
      <c r="C52" s="35" t="n">
        <v>200</v>
      </c>
      <c r="D52" s="33" t="s">
        <v>205</v>
      </c>
      <c r="E52" s="34" t="s">
        <v>356</v>
      </c>
      <c r="F52" s="37" t="s">
        <v>322</v>
      </c>
    </row>
    <row r="53" customFormat="false" ht="15" hidden="false" customHeight="false" outlineLevel="0" collapsed="false">
      <c r="A53" s="28" t="s">
        <v>357</v>
      </c>
      <c r="B53" s="29"/>
      <c r="C53" s="29"/>
      <c r="D53" s="29"/>
      <c r="E53" s="29"/>
      <c r="F53" s="29"/>
    </row>
    <row r="54" customFormat="false" ht="22.35" hidden="false" customHeight="false" outlineLevel="0" collapsed="false">
      <c r="A54" s="30" t="s">
        <v>358</v>
      </c>
      <c r="B54" s="31" t="s">
        <v>359</v>
      </c>
      <c r="C54" s="35" t="n">
        <v>130</v>
      </c>
      <c r="D54" s="33" t="s">
        <v>205</v>
      </c>
      <c r="E54" s="34" t="s">
        <v>360</v>
      </c>
      <c r="F54" s="37" t="s">
        <v>361</v>
      </c>
    </row>
    <row r="55" customFormat="false" ht="23.85" hidden="false" customHeight="false" outlineLevel="0" collapsed="false">
      <c r="A55" s="30" t="s">
        <v>362</v>
      </c>
      <c r="B55" s="31" t="s">
        <v>363</v>
      </c>
      <c r="C55" s="35" t="n">
        <v>1500</v>
      </c>
      <c r="D55" s="33" t="s">
        <v>287</v>
      </c>
      <c r="E55" s="34" t="s">
        <v>364</v>
      </c>
      <c r="F55" s="4"/>
    </row>
    <row r="56" customFormat="false" ht="15" hidden="false" customHeight="false" outlineLevel="0" collapsed="false">
      <c r="A56" s="30" t="s">
        <v>365</v>
      </c>
      <c r="B56" s="31" t="s">
        <v>366</v>
      </c>
      <c r="C56" s="35" t="n">
        <v>30</v>
      </c>
      <c r="D56" s="33" t="s">
        <v>205</v>
      </c>
      <c r="E56" s="34" t="s">
        <v>367</v>
      </c>
      <c r="F56" s="37" t="s">
        <v>368</v>
      </c>
    </row>
    <row r="57" customFormat="false" ht="23.85" hidden="false" customHeight="false" outlineLevel="0" collapsed="false">
      <c r="A57" s="30" t="s">
        <v>369</v>
      </c>
      <c r="B57" s="31" t="s">
        <v>370</v>
      </c>
      <c r="C57" s="35" t="n">
        <v>1200</v>
      </c>
      <c r="D57" s="33" t="s">
        <v>287</v>
      </c>
      <c r="E57" s="34" t="s">
        <v>371</v>
      </c>
      <c r="F57" s="37" t="s">
        <v>372</v>
      </c>
    </row>
    <row r="58" customFormat="false" ht="15" hidden="false" customHeight="false" outlineLevel="0" collapsed="false">
      <c r="A58" s="30" t="s">
        <v>373</v>
      </c>
      <c r="B58" s="31" t="s">
        <v>374</v>
      </c>
      <c r="C58" s="35" t="n">
        <v>2500</v>
      </c>
      <c r="D58" s="33" t="s">
        <v>287</v>
      </c>
      <c r="E58" s="34" t="s">
        <v>375</v>
      </c>
      <c r="F58" s="4"/>
    </row>
    <row r="59" customFormat="false" ht="15" hidden="false" customHeight="false" outlineLevel="0" collapsed="false">
      <c r="A59" s="30" t="s">
        <v>376</v>
      </c>
      <c r="B59" s="31" t="s">
        <v>83</v>
      </c>
      <c r="C59" s="35" t="n">
        <v>35</v>
      </c>
      <c r="D59" s="33" t="s">
        <v>377</v>
      </c>
      <c r="E59" s="34" t="s">
        <v>378</v>
      </c>
      <c r="F59" s="37" t="s">
        <v>379</v>
      </c>
    </row>
    <row r="60" customFormat="false" ht="22.35" hidden="false" customHeight="false" outlineLevel="0" collapsed="false">
      <c r="A60" s="30" t="s">
        <v>380</v>
      </c>
      <c r="B60" s="31" t="s">
        <v>381</v>
      </c>
      <c r="C60" s="35" t="n">
        <v>100</v>
      </c>
      <c r="D60" s="33" t="s">
        <v>205</v>
      </c>
      <c r="E60" s="34" t="s">
        <v>382</v>
      </c>
      <c r="F60" s="37" t="s">
        <v>379</v>
      </c>
    </row>
    <row r="61" customFormat="false" ht="32.8" hidden="false" customHeight="false" outlineLevel="0" collapsed="false">
      <c r="A61" s="30" t="s">
        <v>383</v>
      </c>
      <c r="B61" s="31" t="s">
        <v>384</v>
      </c>
      <c r="C61" s="35" t="n">
        <v>359</v>
      </c>
      <c r="D61" s="33" t="s">
        <v>205</v>
      </c>
      <c r="E61" s="34" t="s">
        <v>385</v>
      </c>
      <c r="F61" s="37" t="s">
        <v>386</v>
      </c>
    </row>
    <row r="62" customFormat="false" ht="15" hidden="false" customHeight="false" outlineLevel="0" collapsed="false">
      <c r="A62" s="30" t="s">
        <v>387</v>
      </c>
      <c r="B62" s="31" t="s">
        <v>388</v>
      </c>
      <c r="C62" s="35" t="n">
        <v>3000</v>
      </c>
      <c r="D62" s="33" t="s">
        <v>287</v>
      </c>
      <c r="E62" s="34" t="s">
        <v>389</v>
      </c>
      <c r="F62" s="37" t="s">
        <v>390</v>
      </c>
    </row>
    <row r="63" customFormat="false" ht="15" hidden="false" customHeight="false" outlineLevel="0" collapsed="false">
      <c r="A63" s="30" t="s">
        <v>391</v>
      </c>
      <c r="B63" s="31" t="s">
        <v>392</v>
      </c>
      <c r="C63" s="35" t="n">
        <v>15</v>
      </c>
      <c r="D63" s="33" t="s">
        <v>377</v>
      </c>
      <c r="E63" s="34" t="s">
        <v>393</v>
      </c>
      <c r="F63" s="37" t="s">
        <v>394</v>
      </c>
    </row>
    <row r="64" customFormat="false" ht="15" hidden="false" customHeight="false" outlineLevel="0" collapsed="false">
      <c r="A64" s="30" t="s">
        <v>395</v>
      </c>
      <c r="B64" s="31" t="s">
        <v>396</v>
      </c>
      <c r="C64" s="35" t="n">
        <v>50</v>
      </c>
      <c r="D64" s="33" t="s">
        <v>205</v>
      </c>
      <c r="E64" s="34" t="s">
        <v>397</v>
      </c>
      <c r="F64" s="37" t="s">
        <v>398</v>
      </c>
    </row>
    <row r="65" customFormat="false" ht="22.35" hidden="false" customHeight="false" outlineLevel="0" collapsed="false">
      <c r="A65" s="30" t="s">
        <v>399</v>
      </c>
      <c r="B65" s="31" t="s">
        <v>400</v>
      </c>
      <c r="C65" s="35" t="n">
        <v>750</v>
      </c>
      <c r="D65" s="33" t="s">
        <v>205</v>
      </c>
      <c r="E65" s="34" t="s">
        <v>401</v>
      </c>
      <c r="F65" s="37" t="s">
        <v>402</v>
      </c>
    </row>
    <row r="66" customFormat="false" ht="15" hidden="false" customHeight="false" outlineLevel="0" collapsed="false">
      <c r="A66" s="30" t="s">
        <v>403</v>
      </c>
      <c r="B66" s="31" t="s">
        <v>404</v>
      </c>
      <c r="C66" s="35" t="n">
        <v>250</v>
      </c>
      <c r="D66" s="33" t="s">
        <v>205</v>
      </c>
      <c r="E66" s="34" t="s">
        <v>405</v>
      </c>
      <c r="F66" s="37" t="s">
        <v>406</v>
      </c>
    </row>
    <row r="67" customFormat="false" ht="15" hidden="false" customHeight="false" outlineLevel="0" collapsed="false">
      <c r="A67" s="28" t="s">
        <v>407</v>
      </c>
      <c r="B67" s="29"/>
      <c r="C67" s="29"/>
      <c r="D67" s="29"/>
      <c r="E67" s="29"/>
      <c r="F67" s="29"/>
    </row>
    <row r="68" customFormat="false" ht="15" hidden="false" customHeight="false" outlineLevel="0" collapsed="false">
      <c r="A68" s="30" t="s">
        <v>408</v>
      </c>
      <c r="B68" s="31" t="s">
        <v>409</v>
      </c>
      <c r="C68" s="35" t="n">
        <v>550</v>
      </c>
      <c r="D68" s="33" t="s">
        <v>410</v>
      </c>
      <c r="E68" s="34" t="s">
        <v>411</v>
      </c>
      <c r="F68" s="37" t="s">
        <v>412</v>
      </c>
    </row>
    <row r="69" customFormat="false" ht="15" hidden="false" customHeight="false" outlineLevel="0" collapsed="false">
      <c r="A69" s="30" t="s">
        <v>413</v>
      </c>
      <c r="B69" s="31" t="s">
        <v>414</v>
      </c>
      <c r="C69" s="32" t="n">
        <v>14</v>
      </c>
      <c r="D69" s="33" t="s">
        <v>415</v>
      </c>
      <c r="E69" s="34" t="s">
        <v>416</v>
      </c>
      <c r="F69" s="37" t="s">
        <v>412</v>
      </c>
    </row>
    <row r="70" customFormat="false" ht="15" hidden="false" customHeight="false" outlineLevel="0" collapsed="false">
      <c r="A70" s="30" t="s">
        <v>417</v>
      </c>
      <c r="B70" s="31" t="s">
        <v>418</v>
      </c>
      <c r="C70" s="35" t="n">
        <v>240</v>
      </c>
      <c r="D70" s="33" t="s">
        <v>419</v>
      </c>
      <c r="E70" s="34" t="s">
        <v>420</v>
      </c>
      <c r="F70" s="37" t="s">
        <v>412</v>
      </c>
    </row>
    <row r="71" customFormat="false" ht="15" hidden="false" customHeight="false" outlineLevel="0" collapsed="false">
      <c r="A71" s="28" t="s">
        <v>421</v>
      </c>
      <c r="B71" s="29"/>
      <c r="C71" s="29"/>
      <c r="D71" s="29"/>
      <c r="E71" s="29"/>
      <c r="F71" s="29"/>
    </row>
    <row r="72" customFormat="false" ht="23.85" hidden="false" customHeight="false" outlineLevel="0" collapsed="false">
      <c r="A72" s="30" t="s">
        <v>422</v>
      </c>
      <c r="B72" s="31" t="s">
        <v>423</v>
      </c>
      <c r="C72" s="35" t="n">
        <v>3000</v>
      </c>
      <c r="D72" s="33" t="s">
        <v>287</v>
      </c>
      <c r="E72" s="34" t="s">
        <v>424</v>
      </c>
      <c r="F72" s="4"/>
    </row>
    <row r="73" customFormat="false" ht="23.85" hidden="false" customHeight="false" outlineLevel="0" collapsed="false">
      <c r="A73" s="30" t="s">
        <v>425</v>
      </c>
      <c r="B73" s="31" t="s">
        <v>426</v>
      </c>
      <c r="C73" s="35" t="n">
        <v>250</v>
      </c>
      <c r="D73" s="33" t="s">
        <v>205</v>
      </c>
      <c r="E73" s="34" t="s">
        <v>192</v>
      </c>
      <c r="F73" s="4"/>
    </row>
    <row r="74" customFormat="false" ht="15" hidden="false" customHeight="false" outlineLevel="0" collapsed="false">
      <c r="A74" s="30" t="s">
        <v>427</v>
      </c>
      <c r="B74" s="31" t="s">
        <v>428</v>
      </c>
      <c r="C74" s="35" t="n">
        <v>2000</v>
      </c>
      <c r="D74" s="33" t="s">
        <v>287</v>
      </c>
      <c r="E74" s="34" t="s">
        <v>192</v>
      </c>
      <c r="F74" s="4"/>
    </row>
    <row r="76" customFormat="false" ht="15" hidden="false" customHeight="false" outlineLevel="0" collapsed="false">
      <c r="B76" s="10" t="s">
        <v>429</v>
      </c>
    </row>
    <row r="77" customFormat="false" ht="15" hidden="false" customHeight="false" outlineLevel="0" collapsed="false">
      <c r="A77" s="40" t="s">
        <v>430</v>
      </c>
      <c r="B77" s="14" t="s">
        <v>431</v>
      </c>
      <c r="C77" s="15" t="n">
        <f aca="false">ROUNDUP('Supuestos y fuentes'!$C$6*'Supuestos y fuentes'!$C$24,0)</f>
        <v>5</v>
      </c>
      <c r="D77" s="20"/>
      <c r="E77" s="20"/>
      <c r="F77" s="20"/>
    </row>
    <row r="78" customFormat="false" ht="15" hidden="false" customHeight="false" outlineLevel="0" collapsed="false">
      <c r="A78" s="40" t="s">
        <v>432</v>
      </c>
      <c r="B78" s="14" t="s">
        <v>433</v>
      </c>
      <c r="C78" s="15" t="n">
        <f aca="false">ROUNDUP('Supuestos y fuentes'!$C$7*'Supuestos y fuentes'!$C$24,0)</f>
        <v>15</v>
      </c>
      <c r="D78" s="20"/>
      <c r="E78" s="20"/>
      <c r="F78" s="20"/>
    </row>
    <row r="79" customFormat="false" ht="15" hidden="false" customHeight="false" outlineLevel="0" collapsed="false">
      <c r="A79" s="40" t="s">
        <v>434</v>
      </c>
      <c r="B79" s="14" t="s">
        <v>435</v>
      </c>
      <c r="C79" s="17" t="n">
        <f aca="false">'Supuestos y fuentes'!$C$25/1.609/'Supuestos y fuentes'!$C$26*'Supuestos y fuentes'!$C$27</f>
        <v>349.596022374145</v>
      </c>
      <c r="D79" s="20"/>
      <c r="E79" s="20"/>
      <c r="F79" s="20"/>
    </row>
    <row r="80" customFormat="false" ht="15" hidden="false" customHeight="false" outlineLevel="0" collapsed="false">
      <c r="A80" s="40" t="s">
        <v>436</v>
      </c>
      <c r="B80" s="14" t="s">
        <v>437</v>
      </c>
      <c r="C80" s="41" t="n">
        <f aca="false">'Supuestos y fuentes'!$C$27/1.609/'Supuestos y fuentes'!$C$26</f>
        <v>0.258960016573441</v>
      </c>
      <c r="D80" s="20"/>
      <c r="E80" s="20"/>
      <c r="F80" s="20"/>
    </row>
    <row r="81" customFormat="false" ht="15" hidden="false" customHeight="false" outlineLevel="0" collapsed="false">
      <c r="A81" s="40" t="s">
        <v>438</v>
      </c>
      <c r="B81" s="14" t="s">
        <v>439</v>
      </c>
      <c r="C81" s="15" t="n">
        <f aca="false">ROUNDUP(('Supuestos y fuentes'!$C$6+'Supuestos y fuentes'!$C$9)/'Supuestos y fuentes'!$C$69,0)</f>
        <v>1</v>
      </c>
      <c r="D81" s="20"/>
      <c r="E81" s="20"/>
      <c r="F81" s="20"/>
    </row>
    <row r="82" customFormat="false" ht="15" hidden="false" customHeight="false" outlineLevel="0" collapsed="false">
      <c r="A82" s="40" t="s">
        <v>440</v>
      </c>
      <c r="B82" s="14" t="s">
        <v>441</v>
      </c>
      <c r="C82" s="15" t="n">
        <f aca="false">ROUNDUP(('Supuestos y fuentes'!$C$7+'Supuestos y fuentes'!$C$9)/'Supuestos y fuentes'!$C$69,0)</f>
        <v>2</v>
      </c>
      <c r="D82" s="20"/>
      <c r="E82" s="20"/>
      <c r="F82" s="20"/>
    </row>
    <row r="83" customFormat="false" ht="15" hidden="false" customHeight="false" outlineLevel="0" collapsed="false">
      <c r="A83" s="40" t="s">
        <v>442</v>
      </c>
      <c r="B83" s="14" t="s">
        <v>443</v>
      </c>
      <c r="C83" s="17" t="n">
        <f aca="false">('Supuestos y fuentes'!$C$17-'Supuestos y fuentes'!$C$16)*1.15</f>
        <v>3277.5</v>
      </c>
      <c r="D83" s="20"/>
      <c r="E83" s="20"/>
      <c r="F83" s="20"/>
    </row>
  </sheetData>
  <mergeCells count="1">
    <mergeCell ref="A2:F2"/>
  </mergeCells>
  <hyperlinks>
    <hyperlink ref="F16" r:id="rId1" display="https://www.kayak.com/flight-routes/Buenos-Aires-Ministro-Pistarini-EZE/Las-Vegas-McCarran-LAS"/>
    <hyperlink ref="F17" r:id="rId2" display="https://www.kayak.com/flight-routes/Business-Class-United-States-US0/Buenos-Aires-BUE.bc.ksp"/>
    <hyperlink ref="F18" r:id="rId3" display="https://www.assistcard.com/ar/seguro-de-viaje-estados-unidos"/>
    <hyperlink ref="F21" r:id="rId4" display="https://777exoticslv.com/classic-car-rentals/"/>
    <hyperlink ref="F23" r:id="rId5" display="https://www.thetraveler.org/bonzah-vs-rentalcover-which-rental-car-insurance-wins/"/>
    <hyperlink ref="F25" r:id="rId6" display="https://www.aaa.com/tripcanvas/roadtrip/route-66-western-arizona-road-trip-AA156"/>
    <hyperlink ref="F27" r:id="rId7" display="https://www.fox5vegas.com/2026/10/22/aaa-nevada-data-shows-gas-prices-falling/"/>
    <hyperlink ref="F28" r:id="rId8" display="https://www.kayak.co.uk/Las-Vegas-Pick-up-truck-Car-Hire.35107.cpk.ksp"/>
    <hyperlink ref="F32" r:id="rId9" display="https://www.kayak.com/Las-Vegas-Hotels-The-Venetian-Resort-Las-Vegas.31420.ksp"/>
    <hyperlink ref="F33" r:id="rId10" display="https://www.kayak.com/Boulder-City-Hotels-Boulder-Dam-Hotel.3239.ksp"/>
    <hyperlink ref="F34" r:id="rId11" display="https://www.kayak.com/Williams-Hotels-El-Rancho-Motel.78717.ksp"/>
    <hyperlink ref="F35" r:id="rId12" display="https://getcostidea.com/how-much-does-it-cost-to-stay-at-el-tovar-hotel-grand-canyon-rates-fees/"/>
    <hyperlink ref="F36" r:id="rId13" display="https://www.lasvegasadvisor.com/resort-fees-downtown/"/>
    <hyperlink ref="F37" r:id="rId14" display="https://lasvegaswonders.com/?p=8834"/>
    <hyperlink ref="F40" r:id="rId15" display="https://lasvegaswonders.com/las-vegas-steakhouse-prices/"/>
    <hyperlink ref="F41" r:id="rId16" display="https://www.expedia.com/things-to-do/comer-en-el-hard-rock-cafe-las-vegas-strip.a438498.detalles-actividades"/>
    <hyperlink ref="F48" r:id="rId17" display="https://latestcost.com/bbq-25-guests-cost-price/"/>
    <hyperlink ref="F51" r:id="rId18" display="https://lasvegaswonders.com/las-vegas-steakhouse-prices/"/>
    <hyperlink ref="F52" r:id="rId19" display="https://lasvegaswonders.com/las-vegas-steakhouse-prices/"/>
    <hyperlink ref="F54" r:id="rId20" display="https://theweeklydriver.com/2026/10/sema-show-2026-complete-guide/"/>
    <hyperlink ref="F56" r:id="rId21" display="https://www.maxtour.co/how-much-are-tours-from-las-vegas-to-the-hoover-dam/"/>
    <hyperlink ref="F57" r:id="rId22" display="https://www.expedia.com/things-to-do/private-group-hoover-dam-highlights-tour-from-las-vegas.a4590436.activity-details"/>
    <hyperlink ref="F59" r:id="rId23" display="https://www.flyingdawnmarie.com/new-blog/national-park-pass-changes-2026"/>
    <hyperlink ref="F60" r:id="rId24" display="https://www.flyingdawnmarie.com/new-blog/national-park-pass-changes-2026"/>
    <hyperlink ref="F61" r:id="rId25" display="https://papillon.com/las-vegas-tours/south-rim/helicopter"/>
    <hyperlink ref="F62" r:id="rId26" display="https://www.canyonstarsteakhouse.com/dinner-menu/"/>
    <hyperlink ref="F63" r:id="rId27" display="https://thebettervacation.com/de/Las-Vegas/Tal-des-Feuers/"/>
    <hyperlink ref="F64" r:id="rId28" display="https://neonmuseum.org/news/how-much-does-it-cost-to-visit-the-neon-museum/"/>
    <hyperlink ref="F65" r:id="rId29" display="https://lasvegaswonders.com/?p=9456"/>
    <hyperlink ref="F66" r:id="rId30" display="https://thebettervacation.com/las-vegas/best-shows-in-las-vegas/"/>
    <hyperlink ref="F68" r:id="rId31" display="https://www.detaileddrivers.com/locations/las-vegas/sprinter-van-rental"/>
    <hyperlink ref="F69" r:id="rId32" display="https://www.detaileddrivers.com/locations/las-vegas/sprinter-van-rental"/>
    <hyperlink ref="F70" r:id="rId33" display="https://www.detaileddrivers.com/locations/las-vegas/sprinter-van-rent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2026-10-31T04:14:13Z</dcterms:created>
  <dc:creator>openpyxl</dc:creator>
  <dc:description/>
  <dc:language>en-US</dc:language>
  <cp:lastModifiedBy/>
  <dcterms:modified xsi:type="dcterms:W3CDTF">2026-10-31T04:14:13Z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